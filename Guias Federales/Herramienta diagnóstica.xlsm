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1842718-AD1A-4BA6-A981-0BF1B9E275A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usqueda" sheetId="5" r:id="rId1"/>
    <sheet name="Sustancias no previstas" sheetId="6" r:id="rId2"/>
    <sheet name="Datos" sheetId="4" state="hidden" r:id="rId3"/>
    <sheet name="1er" sheetId="1" state="hidden" r:id="rId4"/>
    <sheet name="2do" sheetId="2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6" l="1"/>
  <c r="B11" i="6"/>
  <c r="L10" i="4"/>
  <c r="C8" i="5"/>
  <c r="B12" i="5" l="1"/>
  <c r="K13" i="4"/>
</calcChain>
</file>

<file path=xl/sharedStrings.xml><?xml version="1.0" encoding="utf-8"?>
<sst xmlns="http://schemas.openxmlformats.org/spreadsheetml/2006/main" count="1027" uniqueCount="488">
  <si>
    <t>Ácido cianhídrico</t>
  </si>
  <si>
    <t>Ácido fluorhídrico-(fluoruro de hidrógeno)</t>
  </si>
  <si>
    <t>Arsina</t>
  </si>
  <si>
    <t>Cloruro de hidrógeno</t>
  </si>
  <si>
    <t>Cloro (1)</t>
  </si>
  <si>
    <t>Diborano</t>
  </si>
  <si>
    <t>Dióxido de nitrógeno</t>
  </si>
  <si>
    <t>Flúor</t>
  </si>
  <si>
    <t>Fosgeno</t>
  </si>
  <si>
    <t>Hexafluoruro de telurio</t>
  </si>
  <si>
    <t>Ozono (2)</t>
  </si>
  <si>
    <t>Oxido nítrico</t>
  </si>
  <si>
    <t>Seleniuro de hidrógeno</t>
  </si>
  <si>
    <t>Tetrafluoruro de azufre</t>
  </si>
  <si>
    <t>Tricloruro de boro</t>
  </si>
  <si>
    <t>Gas</t>
  </si>
  <si>
    <t>Acroleína</t>
  </si>
  <si>
    <t>Alil amina</t>
  </si>
  <si>
    <t>Bromuro de propargilo</t>
  </si>
  <si>
    <t>Butil vinil éter</t>
  </si>
  <si>
    <t>Carbonilo de níquel</t>
  </si>
  <si>
    <t>Ciclopentano</t>
  </si>
  <si>
    <t>Clorometil metil éter</t>
  </si>
  <si>
    <t>Cloruro de metacriloilo</t>
  </si>
  <si>
    <t>Dioxolano</t>
  </si>
  <si>
    <t>Disulfuro de metilo</t>
  </si>
  <si>
    <t>Fluoruro cianúrico</t>
  </si>
  <si>
    <t>Furano</t>
  </si>
  <si>
    <t>Isocianato de metilo</t>
  </si>
  <si>
    <t>Metil hidracina</t>
  </si>
  <si>
    <t>Metil vinil cetona</t>
  </si>
  <si>
    <t>Pentaborano</t>
  </si>
  <si>
    <t>Sulfuro de dimetilo</t>
  </si>
  <si>
    <t>Tricloroetil silano</t>
  </si>
  <si>
    <t>2 Clorofenil tiourea</t>
  </si>
  <si>
    <t>2,4 Ditiobiuret</t>
  </si>
  <si>
    <t>4,6 Dinitro-cresol</t>
  </si>
  <si>
    <t>Acido becen arsénico</t>
  </si>
  <si>
    <t>Acido cloroacético</t>
  </si>
  <si>
    <t>Acido fluoroacético</t>
  </si>
  <si>
    <t>Acido metil-carbamilo</t>
  </si>
  <si>
    <t>Acido tiocianico 2-benzotiánico</t>
  </si>
  <si>
    <t>Aldicarb</t>
  </si>
  <si>
    <t>Arseniato de calcio</t>
  </si>
  <si>
    <t>Bis clorometil cetona</t>
  </si>
  <si>
    <t>Bromodiolona</t>
  </si>
  <si>
    <t>Carbofurano (furadán)</t>
  </si>
  <si>
    <t>Carbonilos de cobalto</t>
  </si>
  <si>
    <t>Cianuro de potasio</t>
  </si>
  <si>
    <t>Cianuro de sodio</t>
  </si>
  <si>
    <t>Cobalto (2,2-(1,2-etano)</t>
  </si>
  <si>
    <t>Complejo de organorodio</t>
  </si>
  <si>
    <t>Decaborano</t>
  </si>
  <si>
    <t>Dicloro xileno</t>
  </si>
  <si>
    <t>Difacionona</t>
  </si>
  <si>
    <t>Didisocianato de isoforona</t>
  </si>
  <si>
    <t>Dimetil-p-fenilendiamina</t>
  </si>
  <si>
    <t>Dixitoxin</t>
  </si>
  <si>
    <t>Endosulfan</t>
  </si>
  <si>
    <t>Epn</t>
  </si>
  <si>
    <t>Estereato de cadmio</t>
  </si>
  <si>
    <t>Estricnina</t>
  </si>
  <si>
    <t>Fenamifos</t>
  </si>
  <si>
    <t>Fenil tiourea</t>
  </si>
  <si>
    <t>Fluoroacetamida</t>
  </si>
  <si>
    <t>Fósforo (rojo, amarillo y blanco)</t>
  </si>
  <si>
    <t>Metil paration</t>
  </si>
  <si>
    <t>Monocrotofos (azodrín)</t>
  </si>
  <si>
    <t>Oxido de cadmio</t>
  </si>
  <si>
    <t>Paraquat</t>
  </si>
  <si>
    <t>Paraquat-metasulfato</t>
  </si>
  <si>
    <t>Pentadecilamina</t>
  </si>
  <si>
    <t>Pentóxido de arsénico</t>
  </si>
  <si>
    <t>Pentóxido de fósforo</t>
  </si>
  <si>
    <t>Pentóxido de vanadio</t>
  </si>
  <si>
    <t>Pireno</t>
  </si>
  <si>
    <t>Piridina, 2 metil, 5 vinil</t>
  </si>
  <si>
    <t>Seleniato de sodio</t>
  </si>
  <si>
    <t>Sulfato de estricnina</t>
  </si>
  <si>
    <t>Sulfato taloso</t>
  </si>
  <si>
    <t>Sulfato de talio</t>
  </si>
  <si>
    <t>Tetracloruro de iridio</t>
  </si>
  <si>
    <t>Cloroplatinato de amonio</t>
  </si>
  <si>
    <t>Cloruro crómico</t>
  </si>
  <si>
    <t>Cloruro de dicloro benzalkonio</t>
  </si>
  <si>
    <t>Cloruro platinoso</t>
  </si>
  <si>
    <t>Cobalto</t>
  </si>
  <si>
    <t>Fósforo de zinc</t>
  </si>
  <si>
    <t>Fosmet</t>
  </si>
  <si>
    <t>Hexacloro naftaleno</t>
  </si>
  <si>
    <t>Hidruro de litio</t>
  </si>
  <si>
    <t>Metil anzifos</t>
  </si>
  <si>
    <t>Tetracloruro de platino</t>
  </si>
  <si>
    <t>Tetraóxido de osmio</t>
  </si>
  <si>
    <t>Tiosemicarbazida</t>
  </si>
  <si>
    <t>Triclorofón</t>
  </si>
  <si>
    <t>Trióxido de azufre</t>
  </si>
  <si>
    <t>Liquido</t>
  </si>
  <si>
    <t>Sólido</t>
  </si>
  <si>
    <t>Acido sulfhídrico</t>
  </si>
  <si>
    <t>Amoniaco anhidro</t>
  </si>
  <si>
    <t>Fosfina</t>
  </si>
  <si>
    <t>Metil mercaptano</t>
  </si>
  <si>
    <t>Trifluoruro de boro</t>
  </si>
  <si>
    <t>1,2,3,4-diepoxibutano</t>
  </si>
  <si>
    <t>2,cloroetanol</t>
  </si>
  <si>
    <t>Bromo</t>
  </si>
  <si>
    <t>Cloruro de acriloilo</t>
  </si>
  <si>
    <t>1 Sofluorfato</t>
  </si>
  <si>
    <t>Mesitileno</t>
  </si>
  <si>
    <t>Oxicloruro fosforoso</t>
  </si>
  <si>
    <t>Pentacarbonilo de fierro</t>
  </si>
  <si>
    <t>Propionitrilo</t>
  </si>
  <si>
    <t>Pseudocumeno</t>
  </si>
  <si>
    <t>Tetracloruro de titanio</t>
  </si>
  <si>
    <t>Tricloro (clorometil) silano</t>
  </si>
  <si>
    <t>Vinil norborneno</t>
  </si>
  <si>
    <t>Acetato de metoxietilmercurio</t>
  </si>
  <si>
    <t>Fenol</t>
  </si>
  <si>
    <t>Pentacloruro de fósforo</t>
  </si>
  <si>
    <t>Acetato fenil mercúrico</t>
  </si>
  <si>
    <t>Fosfato etilmercúrico</t>
  </si>
  <si>
    <t>Salcomina</t>
  </si>
  <si>
    <t>Acetato mercúrico</t>
  </si>
  <si>
    <t>Hidroquinona</t>
  </si>
  <si>
    <t>Selenito de sodio</t>
  </si>
  <si>
    <t>Arsenito de potasio</t>
  </si>
  <si>
    <t>Isotiosianato de metilo</t>
  </si>
  <si>
    <t>Telurio</t>
  </si>
  <si>
    <t>Arsenito de sodio</t>
  </si>
  <si>
    <t>Lindano</t>
  </si>
  <si>
    <t>Telurito de sodio</t>
  </si>
  <si>
    <t>Azida de sodio</t>
  </si>
  <si>
    <t>Malonato taloso</t>
  </si>
  <si>
    <t>Tiosemicarbacida acetona</t>
  </si>
  <si>
    <t>Bromuro cianógeno</t>
  </si>
  <si>
    <t>Malononitrilo</t>
  </si>
  <si>
    <t>Tricloruro de galio</t>
  </si>
  <si>
    <t>Cianuro potásico de plata</t>
  </si>
  <si>
    <t>Níquel metálico</t>
  </si>
  <si>
    <t>Warfarin Cloruro de mercurio</t>
  </si>
  <si>
    <t>Oxido mercúrico</t>
  </si>
  <si>
    <t>Cloruro de talio</t>
  </si>
  <si>
    <t>Pentaclorofenol</t>
  </si>
  <si>
    <t>Bromuro de metilo</t>
  </si>
  <si>
    <t>Etano (3)</t>
  </si>
  <si>
    <t>Oxido de etileno</t>
  </si>
  <si>
    <t>2,6-Diisocianato de tolueno</t>
  </si>
  <si>
    <t>Disulfuro de carbono</t>
  </si>
  <si>
    <t>Propilenimina</t>
  </si>
  <si>
    <t>Acetaldehido (3)</t>
  </si>
  <si>
    <t>Eter bis-cloro metílico</t>
  </si>
  <si>
    <t>Tetrametilo de plomo</t>
  </si>
  <si>
    <t>Acetato de vinilo</t>
  </si>
  <si>
    <t>Hidracina</t>
  </si>
  <si>
    <t>Tetranitrometano</t>
  </si>
  <si>
    <t>Acido nítrico</t>
  </si>
  <si>
    <t>Metil tricloro silano</t>
  </si>
  <si>
    <t>Tricloro benceno</t>
  </si>
  <si>
    <t>Acrilonitrilo</t>
  </si>
  <si>
    <t>Nitrosodimetilamina</t>
  </si>
  <si>
    <t>Tricloruro de arsénico</t>
  </si>
  <si>
    <t>Alcohol alílico</t>
  </si>
  <si>
    <t>Oxido de propileno</t>
  </si>
  <si>
    <t>Trietoxisilano</t>
  </si>
  <si>
    <t>Beta propiolactona</t>
  </si>
  <si>
    <t>Pentacloroetano</t>
  </si>
  <si>
    <t>Cloroacetaldehído</t>
  </si>
  <si>
    <t>Pentafluoruro de antimonio</t>
  </si>
  <si>
    <t>Crotonaldehído Perclorometil mercaptano</t>
  </si>
  <si>
    <t>Piperidina</t>
  </si>
  <si>
    <t>Acido cresílico</t>
  </si>
  <si>
    <t>Carbonato de talio</t>
  </si>
  <si>
    <t>Yoduro cianógeno</t>
  </si>
  <si>
    <t>Acido selenioso</t>
  </si>
  <si>
    <t>Metomil</t>
  </si>
  <si>
    <t>Acrilamida</t>
  </si>
  <si>
    <t>Oxido tálico</t>
  </si>
  <si>
    <t>Butadieno</t>
  </si>
  <si>
    <t>Acetonitrilo</t>
  </si>
  <si>
    <t>Cloruro de bencilo</t>
  </si>
  <si>
    <t>Peroxido de hidrógeno</t>
  </si>
  <si>
    <t>Benceno (3)</t>
  </si>
  <si>
    <t>2,4-Diisocianato de tolueno</t>
  </si>
  <si>
    <t>Tetracloruro de carbono (3)</t>
  </si>
  <si>
    <t>Cianuro de bencilo</t>
  </si>
  <si>
    <t>Epiclorohidrina</t>
  </si>
  <si>
    <t>Tetraetilo de plomo</t>
  </si>
  <si>
    <t>Cloroformo</t>
  </si>
  <si>
    <t>Isobutironitrilo</t>
  </si>
  <si>
    <t>Trimetilcloro silano</t>
  </si>
  <si>
    <t>Cloruro de benzal</t>
  </si>
  <si>
    <t>Oxicloruro de selenio</t>
  </si>
  <si>
    <t>2,4,6 Trimetil anilina</t>
  </si>
  <si>
    <t>Forato</t>
  </si>
  <si>
    <t>Metanol</t>
  </si>
  <si>
    <t>Anilina</t>
  </si>
  <si>
    <t>Formaldehido cianohidrina</t>
  </si>
  <si>
    <t>Oleum</t>
  </si>
  <si>
    <t>Ciclohexilamina</t>
  </si>
  <si>
    <t>Gas mostaza; sinónimo (sulfato de bis 2-cloroetilo)</t>
  </si>
  <si>
    <t>Sulfato de dimetilo</t>
  </si>
  <si>
    <t>Cloruro de benceno sulfonilo</t>
  </si>
  <si>
    <t>Hexacloro ciclo pentadieno</t>
  </si>
  <si>
    <t>Tiocianato de etilo</t>
  </si>
  <si>
    <t>Diclorometil fenil silano</t>
  </si>
  <si>
    <t>Lactonitrilo</t>
  </si>
  <si>
    <t>Tolueno (3)</t>
  </si>
  <si>
    <t>Etilen diamina</t>
  </si>
  <si>
    <t>Mecloretamina</t>
  </si>
  <si>
    <t>1,1-Dimetil hidracina</t>
  </si>
  <si>
    <t>Eter dicloroetílico</t>
  </si>
  <si>
    <t>Octametil difosforamida</t>
  </si>
  <si>
    <t>Anhidrído metacrílico</t>
  </si>
  <si>
    <t>Eter diglicidílico</t>
  </si>
  <si>
    <t>Tricloro fenil silano</t>
  </si>
  <si>
    <t>Cumeno</t>
  </si>
  <si>
    <t>Fenil dicloro arsina</t>
  </si>
  <si>
    <t>Diclorvos</t>
  </si>
  <si>
    <t>Nevinfos (fosforín)</t>
  </si>
  <si>
    <t>Adiponitrilo</t>
  </si>
  <si>
    <t>Dimetil 4 ácido fosfórico</t>
  </si>
  <si>
    <t>Metil-5-Dimetón</t>
  </si>
  <si>
    <t>Clordano</t>
  </si>
  <si>
    <t>Dimetilftalato</t>
  </si>
  <si>
    <t>Nitrobenceno</t>
  </si>
  <si>
    <t>Dibutilftalato</t>
  </si>
  <si>
    <t>Dioctilftalato</t>
  </si>
  <si>
    <t>Tricloruro fosforoso</t>
  </si>
  <si>
    <t>Dicrotofos (bidrín)</t>
  </si>
  <si>
    <t>Fosfamidón</t>
  </si>
  <si>
    <t>Acetileno</t>
  </si>
  <si>
    <t>Anhídrido hipocloroso</t>
  </si>
  <si>
    <t>Butano (Niso)</t>
  </si>
  <si>
    <t>1-Buteno</t>
  </si>
  <si>
    <t>2-Buteno (cis,trans)</t>
  </si>
  <si>
    <t>Cianógeno</t>
  </si>
  <si>
    <t>Ciclobutano</t>
  </si>
  <si>
    <t>Ciclopropano</t>
  </si>
  <si>
    <t>Cloruro de metilo</t>
  </si>
  <si>
    <t>Cloruro de vinilo</t>
  </si>
  <si>
    <t>Difloruro 1-Cloroetano</t>
  </si>
  <si>
    <t>Dimetil.amina</t>
  </si>
  <si>
    <t>2,2-Dimetil propano</t>
  </si>
  <si>
    <t>Etano</t>
  </si>
  <si>
    <t>Eter metílico</t>
  </si>
  <si>
    <t>Etileno</t>
  </si>
  <si>
    <t>Floruro de etilo</t>
  </si>
  <si>
    <t>Formaldehido</t>
  </si>
  <si>
    <t>Hidrógeno</t>
  </si>
  <si>
    <t>Metano</t>
  </si>
  <si>
    <t>Metilamina</t>
  </si>
  <si>
    <t>2-Metil propeno</t>
  </si>
  <si>
    <t>Propano</t>
  </si>
  <si>
    <t>Propileno</t>
  </si>
  <si>
    <t>Propino</t>
  </si>
  <si>
    <t>Sulfuro de carbonilo</t>
  </si>
  <si>
    <t>Tetrafluroetileno</t>
  </si>
  <si>
    <t>Triflurocloroetileno</t>
  </si>
  <si>
    <t>Trimetil amina</t>
  </si>
  <si>
    <t>2-Butino</t>
  </si>
  <si>
    <t>Cloruro de etilo</t>
  </si>
  <si>
    <t>Etilamina</t>
  </si>
  <si>
    <t>3-Metil-1-Buteno</t>
  </si>
  <si>
    <t>Metil etil eter</t>
  </si>
  <si>
    <t>Nitrato de etilo</t>
  </si>
  <si>
    <t>1-Pentano</t>
  </si>
  <si>
    <t>Acetaldehído</t>
  </si>
  <si>
    <t>Acido cianhídrico</t>
  </si>
  <si>
    <t>Amileno (cis,trans)</t>
  </si>
  <si>
    <t>Colodión</t>
  </si>
  <si>
    <t>2-Metil-1-Buteno</t>
  </si>
  <si>
    <t>2-Metil-2-Buteno</t>
  </si>
  <si>
    <t>Pentano (Niso)</t>
  </si>
  <si>
    <t>1-Penteno</t>
  </si>
  <si>
    <t>Bromuro de alilo</t>
  </si>
  <si>
    <t>Ciclopenteno</t>
  </si>
  <si>
    <t>1-Cloro propileno</t>
  </si>
  <si>
    <t>2-Cloro propileno</t>
  </si>
  <si>
    <t>Cloruro de alilo</t>
  </si>
  <si>
    <t>Cloruro de acetilo</t>
  </si>
  <si>
    <t>Cloruro de propilo (Niso)</t>
  </si>
  <si>
    <t>1.1-Dicloroetileno</t>
  </si>
  <si>
    <t>Dietilamina</t>
  </si>
  <si>
    <t>Dihidropirán</t>
  </si>
  <si>
    <t>2.2 Dimetil butano</t>
  </si>
  <si>
    <t>2.3 Dimetil butano</t>
  </si>
  <si>
    <t>2.3 Dimetil 1-Buteno</t>
  </si>
  <si>
    <t>2.3 Dimetil 2-Buteno</t>
  </si>
  <si>
    <t>2-Etil 1-Buteno</t>
  </si>
  <si>
    <t>Eter dietílico</t>
  </si>
  <si>
    <t>Eter vinílico</t>
  </si>
  <si>
    <t>Etílico mercaptano</t>
  </si>
  <si>
    <t>Etoxiacetileno</t>
  </si>
  <si>
    <t>Formiato de etilo</t>
  </si>
  <si>
    <t>Formiato de meatilo</t>
  </si>
  <si>
    <t>Isopreno</t>
  </si>
  <si>
    <t>Isopropenil acetileno</t>
  </si>
  <si>
    <t>2-Metil Pentano</t>
  </si>
  <si>
    <t>3-metil Pentano</t>
  </si>
  <si>
    <t>2-Metil-1-Penteno</t>
  </si>
  <si>
    <t>2-Metil-2-penteno</t>
  </si>
  <si>
    <t>4-Metil-1-penteno</t>
  </si>
  <si>
    <t>4-Metil-2-penteno</t>
  </si>
  <si>
    <t>2-Metil-2-propanotiol</t>
  </si>
  <si>
    <t>Metil propil acetileno</t>
  </si>
  <si>
    <t>Metil triclorosilano</t>
  </si>
  <si>
    <t>Propil amina (Niso)</t>
  </si>
  <si>
    <t>Propenil etil éter</t>
  </si>
  <si>
    <t>Tetrahdrofurano</t>
  </si>
  <si>
    <t>Triclorosilano</t>
  </si>
  <si>
    <t>Vinil etil eter</t>
  </si>
  <si>
    <t>Vinil isopropil eter</t>
  </si>
  <si>
    <t>Acetato de etilo</t>
  </si>
  <si>
    <t>Acetato de metilo</t>
  </si>
  <si>
    <t>Acetona</t>
  </si>
  <si>
    <t>Acrilato de metilo</t>
  </si>
  <si>
    <t>Alcohol metílico</t>
  </si>
  <si>
    <t>Alcohol etílico</t>
  </si>
  <si>
    <t>Benceno</t>
  </si>
  <si>
    <t>1-Bromo-2-Buteno</t>
  </si>
  <si>
    <t>Butilamina (Niso,sec,ter)</t>
  </si>
  <si>
    <t>Ciclohexano</t>
  </si>
  <si>
    <t>Ciclohexeno</t>
  </si>
  <si>
    <t>Cicloheptano</t>
  </si>
  <si>
    <t>2-Cloro-2-Buteno</t>
  </si>
  <si>
    <t>Cloruro de butilo (Niso,sec,ter)</t>
  </si>
  <si>
    <t>Cloruro de vinilideno</t>
  </si>
  <si>
    <t>Dicloroetano</t>
  </si>
  <si>
    <t>Dicloroetileno (cis,trans)</t>
  </si>
  <si>
    <t>1,2-Dicloroetileno</t>
  </si>
  <si>
    <t>Dimetil diclorosilano</t>
  </si>
  <si>
    <t>1,1 Dimetil hidrazina</t>
  </si>
  <si>
    <t>2,3 Dimetil pentano</t>
  </si>
  <si>
    <t>2,4 Dimetil pentano</t>
  </si>
  <si>
    <t>Dimetoxi metano</t>
  </si>
  <si>
    <t>Diisobutileno</t>
  </si>
  <si>
    <t>Diisopropilamina</t>
  </si>
  <si>
    <t>Eter etil propílico</t>
  </si>
  <si>
    <t>Eter propílico (Niso)</t>
  </si>
  <si>
    <t>Etil butil éter</t>
  </si>
  <si>
    <t>Etil ciclobutano</t>
  </si>
  <si>
    <t>Etil ciclopentano</t>
  </si>
  <si>
    <t>Etil diclorosilano</t>
  </si>
  <si>
    <t>Etil metil cetona</t>
  </si>
  <si>
    <t>Etilenimina</t>
  </si>
  <si>
    <t>Formiato de propilo (Niso)</t>
  </si>
  <si>
    <t>Fluorobenceno</t>
  </si>
  <si>
    <t>1-Hexeno</t>
  </si>
  <si>
    <t>2-Hexeno (cis,trans)</t>
  </si>
  <si>
    <t>Heptano (Niso y mezclas de isómeros)</t>
  </si>
  <si>
    <t>Hepteno</t>
  </si>
  <si>
    <t>Heptileno</t>
  </si>
  <si>
    <t>Heptileno 2-trans</t>
  </si>
  <si>
    <t>1,4-Hexadieno</t>
  </si>
  <si>
    <t>Hexano (Niso y mezclas de isómeros)</t>
  </si>
  <si>
    <t>Isobutiraldehído</t>
  </si>
  <si>
    <t>2-Metil furano</t>
  </si>
  <si>
    <t>Metil Ciclohexano</t>
  </si>
  <si>
    <t>Metil Ciclopentano</t>
  </si>
  <si>
    <t>Metil Diclopentano</t>
  </si>
  <si>
    <t>Metil Diclorosilano</t>
  </si>
  <si>
    <t>Metil éter propílico</t>
  </si>
  <si>
    <t>2-Metil hexano</t>
  </si>
  <si>
    <t>3-Metil hexano</t>
  </si>
  <si>
    <t>Metil hidrazina</t>
  </si>
  <si>
    <t>2-Metil-1,3-Pentadieno</t>
  </si>
  <si>
    <t>4-Metil-1,3-Pentadieno</t>
  </si>
  <si>
    <t>Metil pirrolidina</t>
  </si>
  <si>
    <t>2-Metil tetrahidrofurano</t>
  </si>
  <si>
    <t>Monoxido de butadieno</t>
  </si>
  <si>
    <t>2,5-Norbornadieno</t>
  </si>
  <si>
    <t>Oxido de butileno</t>
  </si>
  <si>
    <t>Oxido de pentametileno</t>
  </si>
  <si>
    <t>1,2-Oxido de butileno</t>
  </si>
  <si>
    <t>Pirrolidina</t>
  </si>
  <si>
    <t>Propionaldehído</t>
  </si>
  <si>
    <t>Propionato de metilo</t>
  </si>
  <si>
    <t>Propianato de vinilo</t>
  </si>
  <si>
    <t>Trietilamina</t>
  </si>
  <si>
    <t>2,2,3-Trimetil butano</t>
  </si>
  <si>
    <t>2,3,3-Trimetil-1-Buteno</t>
  </si>
  <si>
    <t>2,3,4-Trimetil-1-Penteno</t>
  </si>
  <si>
    <t>2,4,4-Trimetil-2-Penteno</t>
  </si>
  <si>
    <t>3,4,4-Trimetil-2-Penteno</t>
  </si>
  <si>
    <t>Trimetilclorosilano</t>
  </si>
  <si>
    <t>Vinil isobutil éter</t>
  </si>
  <si>
    <t>Gas lp comercial (1)</t>
  </si>
  <si>
    <t>Alcohol desnaturalizado</t>
  </si>
  <si>
    <t>Alcohol propílico (Niso)</t>
  </si>
  <si>
    <t>Amilamina (N,sec)</t>
  </si>
  <si>
    <t>Bromuro de N-butilo</t>
  </si>
  <si>
    <t>Butirato de metilo</t>
  </si>
  <si>
    <t>Butironitrilo (Niso)</t>
  </si>
  <si>
    <t>1,2-Dicloropropano</t>
  </si>
  <si>
    <t>2,3-Dimetil hexano</t>
  </si>
  <si>
    <t>2,4-Dimetil hexano</t>
  </si>
  <si>
    <t>P-Dioxano</t>
  </si>
  <si>
    <t>Eter alílico</t>
  </si>
  <si>
    <t>Formiato de isobutilo</t>
  </si>
  <si>
    <t>2-Metil-2-Butanol</t>
  </si>
  <si>
    <t>2-Metil Butiraldehido</t>
  </si>
  <si>
    <t>2-Metil-3-Etil pentano</t>
  </si>
  <si>
    <t>3-Metil-2-Butanotiol</t>
  </si>
  <si>
    <t>Metil metacrilato</t>
  </si>
  <si>
    <t>Piridina</t>
  </si>
  <si>
    <t>Propionato de etilo</t>
  </si>
  <si>
    <t>2,2,3-Trimetil pentano</t>
  </si>
  <si>
    <t>2,2,4-Trimetil pentano</t>
  </si>
  <si>
    <t>2,3,3-Trimetil pentano</t>
  </si>
  <si>
    <t>Tolueno</t>
  </si>
  <si>
    <t>Acetal</t>
  </si>
  <si>
    <t>Acetato de butilo (iso,sec)</t>
  </si>
  <si>
    <t>Acetato de isoamilo</t>
  </si>
  <si>
    <t>Acetato de isopropenilo</t>
  </si>
  <si>
    <t>Acrilato de isobutilo</t>
  </si>
  <si>
    <t>Alcohol amílico (N,sec)</t>
  </si>
  <si>
    <t>Alcohol butílico (iso,sec,ter)</t>
  </si>
  <si>
    <t>Amil mercaptan</t>
  </si>
  <si>
    <t>Benzotrifluoruro</t>
  </si>
  <si>
    <t>1-Butanol</t>
  </si>
  <si>
    <t>Butil mercaptan (N,sec)</t>
  </si>
  <si>
    <t>Butirato de etilo (Niso)</t>
  </si>
  <si>
    <t>Clorobenceno</t>
  </si>
  <si>
    <t>Cloruro de amilo</t>
  </si>
  <si>
    <t>Crotonaldehído</t>
  </si>
  <si>
    <t>Dietilcetona</t>
  </si>
  <si>
    <t>Dietílico carbonato</t>
  </si>
  <si>
    <t>1,3-Dimetil butilamina</t>
  </si>
  <si>
    <t>1,3-Dimetil ciclohexano</t>
  </si>
  <si>
    <t>1,4-Dimetil ciclohexano (cis,trans)</t>
  </si>
  <si>
    <t>Estireno</t>
  </si>
  <si>
    <t>Etil benceno</t>
  </si>
  <si>
    <t>Etil butilamina</t>
  </si>
  <si>
    <t>2-Etil butiraldehído</t>
  </si>
  <si>
    <t>Etil ciclohexano</t>
  </si>
  <si>
    <t>Etilendiamina</t>
  </si>
  <si>
    <t>Etileno-glicol dietílico éter</t>
  </si>
  <si>
    <t>Ferropenacarbonilo</t>
  </si>
  <si>
    <t>Isobromuro de amilo</t>
  </si>
  <si>
    <t>Isoformiato de amilo</t>
  </si>
  <si>
    <t>Metacrilato de etilo</t>
  </si>
  <si>
    <t>Metil isobutil cetona</t>
  </si>
  <si>
    <t>Metil propil cetona</t>
  </si>
  <si>
    <t>Nitroetano</t>
  </si>
  <si>
    <t>Nitrometano</t>
  </si>
  <si>
    <t>Octano (N,iso)</t>
  </si>
  <si>
    <t>Octeno (iso)</t>
  </si>
  <si>
    <t>1-Octeno</t>
  </si>
  <si>
    <t>2-Octeno</t>
  </si>
  <si>
    <t>Oxido de mesitilo</t>
  </si>
  <si>
    <t>2,2,5-Trimetil hexano</t>
  </si>
  <si>
    <t>Vinil triclorosilano</t>
  </si>
  <si>
    <t>Xileno (M.O.P.)</t>
  </si>
  <si>
    <t>Líquido</t>
  </si>
  <si>
    <t>1.Seleccione el estado de agregación de la sustancia.</t>
  </si>
  <si>
    <t>C.E</t>
  </si>
  <si>
    <t>C.E.</t>
  </si>
  <si>
    <t>Resultado</t>
  </si>
  <si>
    <t>2. Seleccione la sustancia</t>
  </si>
  <si>
    <t>Rango</t>
  </si>
  <si>
    <t>$D$2:$E$325</t>
  </si>
  <si>
    <t>$G$2:$H$98</t>
  </si>
  <si>
    <t>$A$2:$B$57</t>
  </si>
  <si>
    <t>Sustancia</t>
  </si>
  <si>
    <t>Edo</t>
  </si>
  <si>
    <t>RESULTADO</t>
  </si>
  <si>
    <t>Cantidad ex</t>
  </si>
  <si>
    <t>Cantidad Reporte</t>
  </si>
  <si>
    <t>Datos!$A$2:$B$57</t>
  </si>
  <si>
    <t>Datos!$D$2:$E$325</t>
  </si>
  <si>
    <t>Datos!$G$2:$H$98</t>
  </si>
  <si>
    <t>°C</t>
  </si>
  <si>
    <t xml:space="preserve">2. Ingresese temperatura de ebullición </t>
  </si>
  <si>
    <t>3.Ingrese presión de vapor.</t>
  </si>
  <si>
    <t>mm hg</t>
  </si>
  <si>
    <t>Para sustancias en estado gaseoso mayores de 500 kg no previstas</t>
  </si>
  <si>
    <t>Mensaje 1</t>
  </si>
  <si>
    <t>Mensaje 2</t>
  </si>
  <si>
    <t>Para sustancias en estado liquido mayores de 10,000 kg</t>
  </si>
  <si>
    <t>Cantidad de Reporte</t>
  </si>
  <si>
    <t>1. Ingrese temperatura de inflamación de la sustancia existente.</t>
  </si>
  <si>
    <t>3. Ingrese la cantidad existente (kg)*</t>
  </si>
  <si>
    <t>*Cantidad Existente</t>
  </si>
  <si>
    <t xml:space="preserve">Esta herramienta sólo es aplicable para sustancias químicas que se encuentren en: produccion, procesamiento, transporte, almacenamiento, uso o disposicion final. 
No es aplicable para el traslado de sustancias  y para sustancias que esten fuera de instalaciones fijas. </t>
  </si>
  <si>
    <t>La cantidad existente es aquella que se encuentra en la instalación de manera permanente, y se calcula sumando la cantidad que existe en:
producción, procesamiento, transporte, almacenamiento uso o disposición final.</t>
  </si>
  <si>
    <t>Se realizan Actividades Altamente Riesgosas, de competencia Federal. Consultar guías federales</t>
  </si>
  <si>
    <t>Se realizan Actividades Riesgosas, de competencia Estatal. Consultar Mapa para acceder a guía estatal.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</si>
</sst>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11"/>
      <color rgb="FF0070C0"/>
      <name val="Calibri Light"/>
      <family val="2"/>
      <scheme val="major"/>
    </font>
    <font>
      <b/>
      <sz val="11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3" fontId="0" fillId="0" borderId="0" xfId="0" applyNumberFormat="1"/>
    <xf numFmtId="1" fontId="0" fillId="0" borderId="0" xfId="0" applyNumberFormat="1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" fontId="3" fillId="0" borderId="0" xfId="0" applyNumberFormat="1" applyFont="1"/>
    <xf numFmtId="0" fontId="0" fillId="0" borderId="1" xfId="0" applyBorder="1"/>
    <xf numFmtId="3" fontId="2" fillId="0" borderId="0" xfId="0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 applyAlignment="1">
      <alignment wrapText="1"/>
    </xf>
    <xf numFmtId="0" fontId="0" fillId="0" borderId="10" xfId="0" applyBorder="1"/>
    <xf numFmtId="0" fontId="0" fillId="0" borderId="9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4" fillId="0" borderId="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wrapText="1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 Light"/>
        <scheme val="maj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 Light"/>
        <scheme val="maj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s" displayName="Gas" ref="A1:A57" totalsRowShown="0" headerRowDxfId="9" dataDxfId="8">
  <autoFilter ref="A1:A57" xr:uid="{00000000-0009-0000-0100-000001000000}"/>
  <sortState xmlns:xlrd2="http://schemas.microsoft.com/office/spreadsheetml/2017/richdata2" ref="A2:A57">
    <sortCondition ref="A2"/>
  </sortState>
  <tableColumns count="1">
    <tableColumn id="1" xr3:uid="{00000000-0010-0000-0000-000001000000}" name="Gas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íquido" displayName="Líquido" ref="D1:D325" totalsRowShown="0" headerRowDxfId="6" dataDxfId="5">
  <autoFilter ref="D1:D325" xr:uid="{00000000-0009-0000-0100-000002000000}"/>
  <sortState xmlns:xlrd2="http://schemas.microsoft.com/office/spreadsheetml/2017/richdata2" ref="D2:D325">
    <sortCondition ref="D2"/>
  </sortState>
  <tableColumns count="1">
    <tableColumn id="1" xr3:uid="{00000000-0010-0000-0100-000001000000}" name="Líquido" dataDxfId="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ólido" displayName="Sólido" ref="G1:G98" totalsRowShown="0" headerRowDxfId="3">
  <autoFilter ref="G1:G98" xr:uid="{00000000-0009-0000-0100-000003000000}"/>
  <sortState xmlns:xlrd2="http://schemas.microsoft.com/office/spreadsheetml/2017/richdata2" ref="G2:G98">
    <sortCondition ref="G2"/>
  </sortState>
  <tableColumns count="1">
    <tableColumn id="1" xr3:uid="{00000000-0010-0000-0200-000001000000}" name="Sólid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B1:B57" totalsRowShown="0" headerRowDxfId="2" dataDxfId="1">
  <autoFilter ref="B1:B57" xr:uid="{00000000-0009-0000-0100-000004000000}"/>
  <tableColumns count="1">
    <tableColumn id="1" xr3:uid="{00000000-0010-0000-0300-000001000000}" name="C.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B12"/>
  <sheetViews>
    <sheetView tabSelected="1" zoomScale="115" zoomScaleNormal="115" workbookViewId="0">
      <selection activeCell="A3" sqref="A3"/>
    </sheetView>
  </sheetViews>
  <sheetFormatPr baseColWidth="10" defaultRowHeight="15" x14ac:dyDescent="0.25"/>
  <cols>
    <col min="1" max="2" width="20.625" customWidth="1"/>
    <col min="3" max="3" width="56.375" customWidth="1"/>
    <col min="6" max="6" width="20.5" customWidth="1"/>
    <col min="7" max="7" width="19.5" customWidth="1"/>
    <col min="10" max="10" width="18.25" customWidth="1"/>
    <col min="26" max="29" width="0" hidden="1" customWidth="1"/>
  </cols>
  <sheetData>
    <row r="1" spans="1:28" x14ac:dyDescent="0.25">
      <c r="A1" s="25" t="s">
        <v>484</v>
      </c>
      <c r="B1" s="26"/>
      <c r="C1" s="27"/>
      <c r="AB1" t="s">
        <v>460</v>
      </c>
    </row>
    <row r="2" spans="1:28" ht="49.5" customHeight="1" x14ac:dyDescent="0.25">
      <c r="A2" s="28"/>
      <c r="B2" s="29"/>
      <c r="C2" s="30"/>
    </row>
    <row r="3" spans="1:28" ht="21.75" customHeight="1" x14ac:dyDescent="0.25">
      <c r="A3" s="22"/>
      <c r="B3" s="23"/>
      <c r="C3" s="24"/>
    </row>
    <row r="4" spans="1:28" ht="21.75" customHeight="1" x14ac:dyDescent="0.25">
      <c r="A4" s="22"/>
      <c r="B4" s="23"/>
      <c r="C4" s="24"/>
    </row>
    <row r="5" spans="1:28" ht="15.75" thickBot="1" x14ac:dyDescent="0.3">
      <c r="A5" s="14" t="s">
        <v>455</v>
      </c>
      <c r="C5" s="15"/>
      <c r="AA5" t="s">
        <v>15</v>
      </c>
      <c r="AB5" t="s">
        <v>469</v>
      </c>
    </row>
    <row r="6" spans="1:28" ht="15.75" thickBot="1" x14ac:dyDescent="0.3">
      <c r="A6" s="14"/>
      <c r="B6" s="8" t="s">
        <v>15</v>
      </c>
      <c r="C6" s="15"/>
      <c r="AA6" t="s">
        <v>454</v>
      </c>
      <c r="AB6" t="s">
        <v>470</v>
      </c>
    </row>
    <row r="7" spans="1:28" ht="15.75" thickBot="1" x14ac:dyDescent="0.3">
      <c r="A7" s="14" t="s">
        <v>459</v>
      </c>
      <c r="C7" s="15" t="s">
        <v>480</v>
      </c>
      <c r="AA7" t="s">
        <v>98</v>
      </c>
      <c r="AB7" t="s">
        <v>471</v>
      </c>
    </row>
    <row r="8" spans="1:28" ht="15.75" thickBot="1" x14ac:dyDescent="0.3">
      <c r="A8" s="14"/>
      <c r="B8" s="8" t="s">
        <v>250</v>
      </c>
      <c r="C8" s="19">
        <f ca="1">VLOOKUP(B8,INDIRECT(VLOOKUP(B6,AA5:AB7,2)),2)</f>
        <v>500</v>
      </c>
    </row>
    <row r="9" spans="1:28" ht="15.75" thickBot="1" x14ac:dyDescent="0.3">
      <c r="A9" s="14" t="s">
        <v>482</v>
      </c>
      <c r="C9" s="15" t="s">
        <v>483</v>
      </c>
      <c r="AA9" t="s">
        <v>477</v>
      </c>
      <c r="AB9" t="s">
        <v>486</v>
      </c>
    </row>
    <row r="10" spans="1:28" ht="36" customHeight="1" thickBot="1" x14ac:dyDescent="0.3">
      <c r="A10" s="14"/>
      <c r="B10" s="8">
        <v>200</v>
      </c>
      <c r="C10" s="31" t="s">
        <v>485</v>
      </c>
      <c r="AA10" t="s">
        <v>478</v>
      </c>
      <c r="AB10" t="s">
        <v>487</v>
      </c>
    </row>
    <row r="11" spans="1:28" ht="27.75" customHeight="1" x14ac:dyDescent="0.25">
      <c r="A11" s="14"/>
      <c r="C11" s="31"/>
    </row>
    <row r="12" spans="1:28" ht="87.75" customHeight="1" thickBot="1" x14ac:dyDescent="0.3">
      <c r="A12" s="20" t="s">
        <v>458</v>
      </c>
      <c r="B12" s="16" t="str">
        <f ca="1">IF(B10&gt;=C8,AB9,IF(B10&lt;C8,AB10,))</f>
        <v>Se realizan Actividades Riesgosas, de competencia Estatal. Consultar Mapa para acceder a guía estatal.</v>
      </c>
      <c r="C12" s="17"/>
    </row>
  </sheetData>
  <mergeCells count="2">
    <mergeCell ref="A1:C2"/>
    <mergeCell ref="C10:C11"/>
  </mergeCells>
  <dataValidations count="1">
    <dataValidation type="list" allowBlank="1" showInputMessage="1" showErrorMessage="1" sqref="B8" xr:uid="{00000000-0002-0000-0000-000000000000}">
      <formula1>INDIRECT($B$6)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Datos!$J$5:$J$7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1"/>
  <sheetViews>
    <sheetView zoomScale="130" zoomScaleNormal="130" workbookViewId="0">
      <selection activeCell="B11" sqref="B11"/>
    </sheetView>
  </sheetViews>
  <sheetFormatPr baseColWidth="10" defaultRowHeight="15" x14ac:dyDescent="0.25"/>
  <cols>
    <col min="1" max="3" width="20.625" customWidth="1"/>
    <col min="5" max="7" width="20.625" customWidth="1"/>
  </cols>
  <sheetData>
    <row r="1" spans="1:7" x14ac:dyDescent="0.25">
      <c r="A1" s="11" t="s">
        <v>476</v>
      </c>
      <c r="B1" s="12"/>
      <c r="C1" s="13"/>
      <c r="E1" t="s">
        <v>479</v>
      </c>
    </row>
    <row r="2" spans="1:7" x14ac:dyDescent="0.25">
      <c r="A2" s="14"/>
      <c r="C2" s="15"/>
    </row>
    <row r="3" spans="1:7" ht="15.75" thickBot="1" x14ac:dyDescent="0.3">
      <c r="A3" s="14" t="s">
        <v>481</v>
      </c>
      <c r="C3" s="15"/>
      <c r="E3" s="14" t="s">
        <v>481</v>
      </c>
      <c r="G3" s="15"/>
    </row>
    <row r="4" spans="1:7" ht="15.75" thickBot="1" x14ac:dyDescent="0.3">
      <c r="A4" s="8">
        <v>40</v>
      </c>
      <c r="B4" t="s">
        <v>472</v>
      </c>
      <c r="C4" s="15"/>
      <c r="E4" s="8">
        <v>36</v>
      </c>
      <c r="F4" t="s">
        <v>472</v>
      </c>
      <c r="G4" s="15"/>
    </row>
    <row r="5" spans="1:7" ht="15.75" thickBot="1" x14ac:dyDescent="0.3">
      <c r="A5" s="14" t="s">
        <v>473</v>
      </c>
      <c r="C5" s="15"/>
      <c r="E5" s="14" t="s">
        <v>473</v>
      </c>
      <c r="G5" s="15"/>
    </row>
    <row r="6" spans="1:7" ht="15.75" thickBot="1" x14ac:dyDescent="0.3">
      <c r="A6" s="8">
        <v>20</v>
      </c>
      <c r="B6" t="s">
        <v>472</v>
      </c>
      <c r="C6" s="15"/>
      <c r="E6" s="8">
        <v>20</v>
      </c>
      <c r="F6" t="s">
        <v>472</v>
      </c>
      <c r="G6" s="15"/>
    </row>
    <row r="7" spans="1:7" ht="15.75" thickBot="1" x14ac:dyDescent="0.3">
      <c r="A7" s="14" t="s">
        <v>474</v>
      </c>
      <c r="C7" s="15"/>
      <c r="E7" s="14" t="s">
        <v>474</v>
      </c>
      <c r="G7" s="15"/>
    </row>
    <row r="8" spans="1:7" ht="15.75" thickBot="1" x14ac:dyDescent="0.3">
      <c r="A8" s="8">
        <v>800</v>
      </c>
      <c r="B8" t="s">
        <v>475</v>
      </c>
      <c r="C8" s="15"/>
      <c r="E8" s="8">
        <v>700</v>
      </c>
      <c r="F8" t="s">
        <v>475</v>
      </c>
      <c r="G8" s="15"/>
    </row>
    <row r="9" spans="1:7" x14ac:dyDescent="0.25">
      <c r="A9" s="14"/>
      <c r="C9" s="15"/>
      <c r="E9" s="14"/>
      <c r="G9" s="15"/>
    </row>
    <row r="10" spans="1:7" x14ac:dyDescent="0.25">
      <c r="A10" s="14"/>
      <c r="C10" s="15"/>
      <c r="E10" s="14"/>
      <c r="G10" s="15"/>
    </row>
    <row r="11" spans="1:7" ht="75.75" thickBot="1" x14ac:dyDescent="0.3">
      <c r="A11" s="20" t="s">
        <v>458</v>
      </c>
      <c r="B11" s="21" t="str">
        <f>IF(AND(A4&lt;=37.86,A6&lt;21.1,A8&gt;760),Busqueda!AB9, Busqueda!AB10)</f>
        <v>Se realizan Actividades Riesgosas, de competencia Estatal. Consultar Mapa para acceder a guía estatal.</v>
      </c>
      <c r="C11" s="17"/>
      <c r="E11" s="20" t="s">
        <v>458</v>
      </c>
      <c r="F11" s="18" t="str">
        <f>IF(AND(E4&lt;=37.86,E6&gt;=21.1,E8&lt;=760),Busqueda!AB9, Busqueda!AB10)</f>
        <v>Se realizan Actividades Riesgosas, de competencia Estatal. Consultar Mapa para acceder a guía estatal.</v>
      </c>
      <c r="G11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V325"/>
  <sheetViews>
    <sheetView zoomScaleNormal="100" workbookViewId="0">
      <selection activeCell="C14" sqref="C14"/>
    </sheetView>
  </sheetViews>
  <sheetFormatPr baseColWidth="10" defaultRowHeight="15" x14ac:dyDescent="0.25"/>
  <cols>
    <col min="1" max="1" width="20.25" customWidth="1"/>
    <col min="2" max="2" width="11" style="2"/>
    <col min="4" max="4" width="12.25" customWidth="1"/>
    <col min="5" max="5" width="11" style="2"/>
    <col min="10" max="10" width="14.5" customWidth="1"/>
    <col min="11" max="11" width="15.125" customWidth="1"/>
  </cols>
  <sheetData>
    <row r="1" spans="1:12" ht="23.25" x14ac:dyDescent="0.35">
      <c r="A1" s="4" t="s">
        <v>15</v>
      </c>
      <c r="B1" s="9" t="s">
        <v>456</v>
      </c>
      <c r="D1" s="4" t="s">
        <v>454</v>
      </c>
      <c r="E1" s="9" t="s">
        <v>456</v>
      </c>
      <c r="G1" s="4" t="s">
        <v>98</v>
      </c>
      <c r="H1" s="4" t="s">
        <v>457</v>
      </c>
    </row>
    <row r="2" spans="1:12" x14ac:dyDescent="0.25">
      <c r="A2" s="5" t="s">
        <v>234</v>
      </c>
      <c r="B2" s="6">
        <v>1</v>
      </c>
      <c r="D2" t="s">
        <v>108</v>
      </c>
      <c r="E2" s="6">
        <v>1</v>
      </c>
      <c r="G2" t="s">
        <v>34</v>
      </c>
      <c r="H2">
        <v>1</v>
      </c>
    </row>
    <row r="3" spans="1:12" x14ac:dyDescent="0.25">
      <c r="A3" s="5" t="s">
        <v>243</v>
      </c>
      <c r="B3" s="6">
        <v>1</v>
      </c>
      <c r="D3" s="5" t="s">
        <v>332</v>
      </c>
      <c r="E3" s="6">
        <v>1</v>
      </c>
      <c r="G3" t="s">
        <v>35</v>
      </c>
      <c r="H3">
        <v>1</v>
      </c>
    </row>
    <row r="4" spans="1:12" x14ac:dyDescent="0.25">
      <c r="A4" s="5" t="s">
        <v>235</v>
      </c>
      <c r="B4" s="6">
        <v>1</v>
      </c>
      <c r="D4" t="s">
        <v>210</v>
      </c>
      <c r="E4" s="6">
        <v>1</v>
      </c>
      <c r="G4" t="s">
        <v>36</v>
      </c>
      <c r="H4">
        <v>1</v>
      </c>
      <c r="K4" t="s">
        <v>460</v>
      </c>
    </row>
    <row r="5" spans="1:12" x14ac:dyDescent="0.25">
      <c r="A5" s="5" t="s">
        <v>252</v>
      </c>
      <c r="B5" s="6">
        <v>1</v>
      </c>
      <c r="D5" t="s">
        <v>104</v>
      </c>
      <c r="E5" s="6">
        <v>1</v>
      </c>
      <c r="G5" t="s">
        <v>117</v>
      </c>
      <c r="H5">
        <v>1</v>
      </c>
      <c r="J5" t="s">
        <v>15</v>
      </c>
      <c r="K5" t="s">
        <v>463</v>
      </c>
    </row>
    <row r="6" spans="1:12" x14ac:dyDescent="0.25">
      <c r="A6" s="5" t="s">
        <v>231</v>
      </c>
      <c r="B6" s="6">
        <v>1</v>
      </c>
      <c r="D6" s="5" t="s">
        <v>330</v>
      </c>
      <c r="E6" s="6">
        <v>1</v>
      </c>
      <c r="G6" t="s">
        <v>120</v>
      </c>
      <c r="H6">
        <v>1</v>
      </c>
      <c r="J6" t="s">
        <v>454</v>
      </c>
      <c r="K6" t="s">
        <v>461</v>
      </c>
    </row>
    <row r="7" spans="1:12" x14ac:dyDescent="0.25">
      <c r="A7" t="s">
        <v>0</v>
      </c>
      <c r="B7" s="6">
        <v>1</v>
      </c>
      <c r="D7" s="5" t="s">
        <v>394</v>
      </c>
      <c r="E7" s="6">
        <v>1</v>
      </c>
      <c r="G7" t="s">
        <v>123</v>
      </c>
      <c r="H7">
        <v>1</v>
      </c>
      <c r="J7" t="s">
        <v>98</v>
      </c>
      <c r="K7" t="s">
        <v>462</v>
      </c>
    </row>
    <row r="8" spans="1:12" x14ac:dyDescent="0.25">
      <c r="A8" t="s">
        <v>1</v>
      </c>
      <c r="B8" s="6">
        <v>1</v>
      </c>
      <c r="D8" s="5" t="s">
        <v>374</v>
      </c>
      <c r="E8" s="6">
        <v>1</v>
      </c>
      <c r="G8" t="s">
        <v>37</v>
      </c>
      <c r="H8">
        <v>1</v>
      </c>
    </row>
    <row r="9" spans="1:12" x14ac:dyDescent="0.25">
      <c r="A9" t="s">
        <v>99</v>
      </c>
      <c r="B9" s="6">
        <v>1</v>
      </c>
      <c r="D9" s="5" t="s">
        <v>428</v>
      </c>
      <c r="E9" s="6">
        <v>1</v>
      </c>
      <c r="G9" t="s">
        <v>38</v>
      </c>
      <c r="H9">
        <v>1</v>
      </c>
      <c r="J9" t="s">
        <v>465</v>
      </c>
      <c r="K9" t="s">
        <v>464</v>
      </c>
      <c r="L9" t="s">
        <v>468</v>
      </c>
    </row>
    <row r="10" spans="1:12" x14ac:dyDescent="0.25">
      <c r="A10" s="5" t="s">
        <v>99</v>
      </c>
      <c r="B10" s="6">
        <v>1</v>
      </c>
      <c r="D10" s="5" t="s">
        <v>429</v>
      </c>
      <c r="E10" s="6">
        <v>1</v>
      </c>
      <c r="G10" t="s">
        <v>171</v>
      </c>
      <c r="H10">
        <v>1</v>
      </c>
      <c r="J10" s="10" t="s">
        <v>98</v>
      </c>
      <c r="K10" s="10" t="s">
        <v>120</v>
      </c>
      <c r="L10" s="10">
        <f ca="1">VLOOKUP($K$10,INDIRECT(VLOOKUP($J$10,$J$5:$K$7,2)),2)</f>
        <v>1</v>
      </c>
    </row>
    <row r="11" spans="1:12" x14ac:dyDescent="0.25">
      <c r="A11" t="s">
        <v>100</v>
      </c>
      <c r="B11" s="6">
        <v>1</v>
      </c>
      <c r="D11" s="5" t="s">
        <v>430</v>
      </c>
      <c r="E11" s="6">
        <v>1</v>
      </c>
      <c r="G11" t="s">
        <v>39</v>
      </c>
      <c r="H11">
        <v>1</v>
      </c>
    </row>
    <row r="12" spans="1:12" x14ac:dyDescent="0.25">
      <c r="A12" s="5" t="s">
        <v>232</v>
      </c>
      <c r="B12" s="6">
        <v>1</v>
      </c>
      <c r="D12" s="5" t="s">
        <v>354</v>
      </c>
      <c r="E12" s="6">
        <v>1</v>
      </c>
      <c r="G12" t="s">
        <v>40</v>
      </c>
      <c r="H12">
        <v>1</v>
      </c>
      <c r="J12" t="s">
        <v>467</v>
      </c>
      <c r="K12">
        <v>5000</v>
      </c>
    </row>
    <row r="13" spans="1:12" x14ac:dyDescent="0.25">
      <c r="A13" t="s">
        <v>2</v>
      </c>
      <c r="B13" s="6">
        <v>1</v>
      </c>
      <c r="D13" s="5" t="s">
        <v>282</v>
      </c>
      <c r="E13" s="6">
        <v>1</v>
      </c>
      <c r="G13" t="s">
        <v>174</v>
      </c>
      <c r="H13">
        <v>1</v>
      </c>
      <c r="J13" t="s">
        <v>466</v>
      </c>
      <c r="K13" t="str">
        <f ca="1">IF(K12&gt;=L10,"mensaje 1",IF(L10&gt;K12,"mensaje 2",""))</f>
        <v>mensaje 1</v>
      </c>
    </row>
    <row r="14" spans="1:12" x14ac:dyDescent="0.25">
      <c r="A14" t="s">
        <v>144</v>
      </c>
      <c r="B14" s="6">
        <v>1</v>
      </c>
      <c r="D14" s="5" t="s">
        <v>320</v>
      </c>
      <c r="E14" s="6">
        <v>1</v>
      </c>
      <c r="G14" t="s">
        <v>41</v>
      </c>
      <c r="H14">
        <v>1</v>
      </c>
    </row>
    <row r="15" spans="1:12" x14ac:dyDescent="0.25">
      <c r="A15" t="s">
        <v>178</v>
      </c>
      <c r="B15" s="6">
        <v>1</v>
      </c>
      <c r="D15" s="5" t="s">
        <v>420</v>
      </c>
      <c r="E15" s="6">
        <v>1</v>
      </c>
      <c r="G15" t="s">
        <v>176</v>
      </c>
      <c r="H15">
        <v>1</v>
      </c>
    </row>
    <row r="16" spans="1:12" x14ac:dyDescent="0.25">
      <c r="A16" s="5" t="s">
        <v>178</v>
      </c>
      <c r="B16" s="6">
        <v>1</v>
      </c>
      <c r="D16" s="5" t="s">
        <v>277</v>
      </c>
      <c r="E16" s="6">
        <v>1</v>
      </c>
      <c r="G16" t="s">
        <v>42</v>
      </c>
      <c r="H16">
        <v>1</v>
      </c>
    </row>
    <row r="17" spans="1:22" x14ac:dyDescent="0.25">
      <c r="A17" s="5" t="s">
        <v>233</v>
      </c>
      <c r="B17" s="6">
        <v>10</v>
      </c>
      <c r="D17" s="5" t="s">
        <v>348</v>
      </c>
      <c r="E17" s="6">
        <v>1</v>
      </c>
      <c r="G17" t="s">
        <v>43</v>
      </c>
      <c r="H17">
        <v>1</v>
      </c>
    </row>
    <row r="18" spans="1:22" x14ac:dyDescent="0.25">
      <c r="A18" s="5" t="s">
        <v>236</v>
      </c>
      <c r="B18" s="6">
        <v>10</v>
      </c>
      <c r="D18" s="5" t="s">
        <v>448</v>
      </c>
      <c r="E18" s="6">
        <v>1</v>
      </c>
      <c r="G18" t="s">
        <v>126</v>
      </c>
      <c r="H18">
        <v>1</v>
      </c>
    </row>
    <row r="19" spans="1:22" x14ac:dyDescent="0.25">
      <c r="A19" s="5" t="s">
        <v>237</v>
      </c>
      <c r="B19" s="6">
        <v>10</v>
      </c>
      <c r="D19" s="5" t="s">
        <v>266</v>
      </c>
      <c r="E19" s="6">
        <v>1</v>
      </c>
      <c r="G19" t="s">
        <v>129</v>
      </c>
      <c r="H19">
        <v>1</v>
      </c>
    </row>
    <row r="20" spans="1:22" ht="18.75" x14ac:dyDescent="0.3">
      <c r="A20" s="5" t="s">
        <v>238</v>
      </c>
      <c r="B20" s="6">
        <v>10</v>
      </c>
      <c r="C20" s="1"/>
      <c r="D20" s="5" t="s">
        <v>274</v>
      </c>
      <c r="E20" s="6">
        <v>10</v>
      </c>
      <c r="G20" t="s">
        <v>132</v>
      </c>
      <c r="H20">
        <v>1</v>
      </c>
    </row>
    <row r="21" spans="1:22" x14ac:dyDescent="0.25">
      <c r="A21" t="s">
        <v>4</v>
      </c>
      <c r="B21" s="6">
        <v>10</v>
      </c>
      <c r="D21" s="5" t="s">
        <v>274</v>
      </c>
      <c r="E21" s="6">
        <v>10</v>
      </c>
      <c r="G21" t="s">
        <v>44</v>
      </c>
      <c r="H21">
        <v>1</v>
      </c>
      <c r="U21" t="s">
        <v>220</v>
      </c>
      <c r="V21">
        <v>1000000</v>
      </c>
    </row>
    <row r="22" spans="1:22" x14ac:dyDescent="0.25">
      <c r="A22" t="s">
        <v>3</v>
      </c>
      <c r="B22" s="6">
        <v>100</v>
      </c>
      <c r="D22" s="5" t="s">
        <v>380</v>
      </c>
      <c r="E22" s="6">
        <v>10</v>
      </c>
      <c r="G22" t="s">
        <v>45</v>
      </c>
      <c r="H22">
        <v>1</v>
      </c>
      <c r="U22" t="s">
        <v>223</v>
      </c>
      <c r="V22">
        <v>1000000</v>
      </c>
    </row>
    <row r="23" spans="1:22" x14ac:dyDescent="0.25">
      <c r="A23" s="5" t="s">
        <v>239</v>
      </c>
      <c r="B23" s="6">
        <v>100</v>
      </c>
      <c r="D23" s="5" t="s">
        <v>407</v>
      </c>
      <c r="E23" s="6">
        <v>10</v>
      </c>
      <c r="G23" t="s">
        <v>135</v>
      </c>
      <c r="H23">
        <v>1</v>
      </c>
      <c r="U23" t="s">
        <v>226</v>
      </c>
      <c r="V23">
        <v>1000000</v>
      </c>
    </row>
    <row r="24" spans="1:22" x14ac:dyDescent="0.25">
      <c r="A24" s="5" t="s">
        <v>240</v>
      </c>
      <c r="B24" s="6">
        <v>100</v>
      </c>
      <c r="D24" s="5" t="s">
        <v>408</v>
      </c>
      <c r="E24" s="6">
        <v>10</v>
      </c>
      <c r="G24" t="s">
        <v>46</v>
      </c>
      <c r="H24">
        <v>1</v>
      </c>
      <c r="U24" t="s">
        <v>229</v>
      </c>
      <c r="V24">
        <v>1000000</v>
      </c>
    </row>
    <row r="25" spans="1:22" x14ac:dyDescent="0.25">
      <c r="A25" t="s">
        <v>5</v>
      </c>
      <c r="B25" s="6">
        <v>1000</v>
      </c>
      <c r="D25" s="5" t="s">
        <v>451</v>
      </c>
      <c r="E25" s="6">
        <v>10</v>
      </c>
      <c r="G25" t="s">
        <v>172</v>
      </c>
      <c r="H25">
        <v>1</v>
      </c>
      <c r="U25" t="s">
        <v>221</v>
      </c>
      <c r="V25">
        <v>1000000</v>
      </c>
    </row>
    <row r="26" spans="1:22" x14ac:dyDescent="0.25">
      <c r="A26" s="5" t="s">
        <v>241</v>
      </c>
      <c r="B26" s="5">
        <v>500</v>
      </c>
      <c r="D26" s="5" t="s">
        <v>333</v>
      </c>
      <c r="E26" s="6">
        <v>10</v>
      </c>
      <c r="G26" t="s">
        <v>47</v>
      </c>
      <c r="H26">
        <v>1</v>
      </c>
      <c r="U26" t="s">
        <v>224</v>
      </c>
      <c r="V26">
        <v>1000000</v>
      </c>
    </row>
    <row r="27" spans="1:22" x14ac:dyDescent="0.25">
      <c r="A27" s="5" t="s">
        <v>242</v>
      </c>
      <c r="B27" s="5">
        <v>500</v>
      </c>
      <c r="D27" s="5" t="s">
        <v>409</v>
      </c>
      <c r="E27" s="6">
        <v>10</v>
      </c>
      <c r="G27" t="s">
        <v>48</v>
      </c>
      <c r="H27">
        <v>1</v>
      </c>
      <c r="U27" t="s">
        <v>227</v>
      </c>
      <c r="V27">
        <v>1000000</v>
      </c>
    </row>
    <row r="28" spans="1:22" x14ac:dyDescent="0.25">
      <c r="A28" t="s">
        <v>6</v>
      </c>
      <c r="B28" s="5">
        <v>500</v>
      </c>
      <c r="D28" s="5" t="s">
        <v>381</v>
      </c>
      <c r="E28" s="6">
        <v>10</v>
      </c>
      <c r="G28" t="s">
        <v>49</v>
      </c>
      <c r="H28">
        <v>1</v>
      </c>
      <c r="U28" t="s">
        <v>230</v>
      </c>
      <c r="V28">
        <v>1000000</v>
      </c>
    </row>
    <row r="29" spans="1:22" x14ac:dyDescent="0.25">
      <c r="A29" s="5" t="s">
        <v>244</v>
      </c>
      <c r="B29" s="5">
        <v>500</v>
      </c>
      <c r="D29" s="5" t="s">
        <v>382</v>
      </c>
      <c r="E29" s="6">
        <v>10</v>
      </c>
      <c r="G29" t="s">
        <v>138</v>
      </c>
      <c r="H29">
        <v>1</v>
      </c>
      <c r="U29" t="s">
        <v>222</v>
      </c>
      <c r="V29">
        <v>1000000</v>
      </c>
    </row>
    <row r="30" spans="1:22" x14ac:dyDescent="0.25">
      <c r="A30" t="s">
        <v>145</v>
      </c>
      <c r="B30" s="5">
        <v>500</v>
      </c>
      <c r="D30" s="5" t="s">
        <v>395</v>
      </c>
      <c r="E30" s="6">
        <v>10</v>
      </c>
      <c r="G30" t="s">
        <v>82</v>
      </c>
      <c r="H30">
        <v>1</v>
      </c>
      <c r="U30" t="s">
        <v>225</v>
      </c>
      <c r="V30">
        <v>1000000</v>
      </c>
    </row>
    <row r="31" spans="1:22" x14ac:dyDescent="0.25">
      <c r="A31" s="5" t="s">
        <v>245</v>
      </c>
      <c r="B31" s="5">
        <v>500</v>
      </c>
      <c r="D31" s="5" t="s">
        <v>334</v>
      </c>
      <c r="E31" s="6">
        <v>10</v>
      </c>
      <c r="G31" t="s">
        <v>83</v>
      </c>
      <c r="H31">
        <v>1</v>
      </c>
      <c r="U31" t="s">
        <v>228</v>
      </c>
      <c r="V31">
        <v>1000000</v>
      </c>
    </row>
    <row r="32" spans="1:22" x14ac:dyDescent="0.25">
      <c r="A32" s="5" t="s">
        <v>246</v>
      </c>
      <c r="B32" s="5">
        <v>500</v>
      </c>
      <c r="D32" s="5" t="s">
        <v>383</v>
      </c>
      <c r="E32" s="6">
        <v>10</v>
      </c>
      <c r="G32" t="s">
        <v>84</v>
      </c>
      <c r="H32">
        <v>1</v>
      </c>
    </row>
    <row r="33" spans="1:8" x14ac:dyDescent="0.25">
      <c r="A33" s="5" t="s">
        <v>247</v>
      </c>
      <c r="B33" s="5">
        <v>500</v>
      </c>
      <c r="D33" t="s">
        <v>193</v>
      </c>
      <c r="E33" s="6">
        <v>100</v>
      </c>
      <c r="G33" t="s">
        <v>142</v>
      </c>
      <c r="H33">
        <v>1</v>
      </c>
    </row>
    <row r="34" spans="1:8" x14ac:dyDescent="0.25">
      <c r="A34" t="s">
        <v>7</v>
      </c>
      <c r="B34" s="5">
        <v>500</v>
      </c>
      <c r="D34" t="s">
        <v>183</v>
      </c>
      <c r="E34" s="6">
        <v>100</v>
      </c>
      <c r="G34" t="s">
        <v>85</v>
      </c>
      <c r="H34">
        <v>1</v>
      </c>
    </row>
    <row r="35" spans="1:8" x14ac:dyDescent="0.25">
      <c r="A35" s="5" t="s">
        <v>248</v>
      </c>
      <c r="B35" s="5">
        <v>500</v>
      </c>
      <c r="D35" s="5" t="s">
        <v>396</v>
      </c>
      <c r="E35" s="6">
        <v>100</v>
      </c>
      <c r="G35" t="s">
        <v>86</v>
      </c>
      <c r="H35">
        <v>1</v>
      </c>
    </row>
    <row r="36" spans="1:8" x14ac:dyDescent="0.25">
      <c r="A36" t="s">
        <v>101</v>
      </c>
      <c r="B36" s="5">
        <v>500</v>
      </c>
      <c r="D36" s="5" t="s">
        <v>371</v>
      </c>
      <c r="E36" s="6">
        <v>100</v>
      </c>
      <c r="G36" t="s">
        <v>50</v>
      </c>
      <c r="H36">
        <v>1</v>
      </c>
    </row>
    <row r="37" spans="1:8" x14ac:dyDescent="0.25">
      <c r="A37" t="s">
        <v>8</v>
      </c>
      <c r="B37" s="5">
        <v>500</v>
      </c>
      <c r="D37" t="s">
        <v>147</v>
      </c>
      <c r="E37" s="6">
        <v>100</v>
      </c>
      <c r="G37" t="s">
        <v>51</v>
      </c>
      <c r="H37">
        <v>1</v>
      </c>
    </row>
    <row r="38" spans="1:8" x14ac:dyDescent="0.25">
      <c r="A38" s="5" t="s">
        <v>387</v>
      </c>
      <c r="B38" s="5">
        <v>500</v>
      </c>
      <c r="D38" t="s">
        <v>105</v>
      </c>
      <c r="E38" s="6">
        <v>100</v>
      </c>
      <c r="G38" t="s">
        <v>52</v>
      </c>
      <c r="H38">
        <v>1</v>
      </c>
    </row>
    <row r="39" spans="1:8" x14ac:dyDescent="0.25">
      <c r="A39" t="s">
        <v>9</v>
      </c>
      <c r="B39" s="5">
        <v>500</v>
      </c>
      <c r="D39" s="5" t="s">
        <v>285</v>
      </c>
      <c r="E39" s="6">
        <v>100</v>
      </c>
      <c r="G39" t="s">
        <v>53</v>
      </c>
      <c r="H39">
        <v>1</v>
      </c>
    </row>
    <row r="40" spans="1:8" x14ac:dyDescent="0.25">
      <c r="A40" s="5" t="s">
        <v>249</v>
      </c>
      <c r="B40" s="5">
        <v>500</v>
      </c>
      <c r="D40" s="5" t="s">
        <v>287</v>
      </c>
      <c r="E40" s="6">
        <v>100</v>
      </c>
      <c r="G40" t="s">
        <v>55</v>
      </c>
      <c r="H40">
        <v>1</v>
      </c>
    </row>
    <row r="41" spans="1:8" x14ac:dyDescent="0.25">
      <c r="A41" s="5" t="s">
        <v>250</v>
      </c>
      <c r="B41" s="5">
        <v>500</v>
      </c>
      <c r="D41" s="5" t="s">
        <v>288</v>
      </c>
      <c r="E41" s="6">
        <v>100</v>
      </c>
      <c r="G41" t="s">
        <v>54</v>
      </c>
      <c r="H41">
        <v>1</v>
      </c>
    </row>
    <row r="42" spans="1:8" x14ac:dyDescent="0.25">
      <c r="A42" t="s">
        <v>102</v>
      </c>
      <c r="B42" s="5">
        <v>500</v>
      </c>
      <c r="D42" s="5" t="s">
        <v>286</v>
      </c>
      <c r="E42" s="6">
        <v>100</v>
      </c>
      <c r="G42" t="s">
        <v>56</v>
      </c>
      <c r="H42">
        <v>1</v>
      </c>
    </row>
    <row r="43" spans="1:8" x14ac:dyDescent="0.25">
      <c r="A43" s="5" t="s">
        <v>251</v>
      </c>
      <c r="B43" s="5">
        <v>500</v>
      </c>
      <c r="D43" s="5" t="s">
        <v>260</v>
      </c>
      <c r="E43" s="6">
        <v>100</v>
      </c>
      <c r="G43" t="s">
        <v>57</v>
      </c>
      <c r="H43">
        <v>1</v>
      </c>
    </row>
    <row r="44" spans="1:8" x14ac:dyDescent="0.25">
      <c r="A44" t="s">
        <v>146</v>
      </c>
      <c r="B44" s="5">
        <v>500</v>
      </c>
      <c r="D44" s="5" t="s">
        <v>278</v>
      </c>
      <c r="E44" s="6">
        <v>100</v>
      </c>
      <c r="G44" t="s">
        <v>58</v>
      </c>
      <c r="H44">
        <v>1</v>
      </c>
    </row>
    <row r="45" spans="1:8" x14ac:dyDescent="0.25">
      <c r="A45" t="s">
        <v>11</v>
      </c>
      <c r="B45" s="5">
        <v>500</v>
      </c>
      <c r="D45" s="5" t="s">
        <v>325</v>
      </c>
      <c r="E45" s="6">
        <v>100</v>
      </c>
      <c r="G45" t="s">
        <v>59</v>
      </c>
      <c r="H45">
        <v>1</v>
      </c>
    </row>
    <row r="46" spans="1:8" x14ac:dyDescent="0.25">
      <c r="A46" t="s">
        <v>10</v>
      </c>
      <c r="B46" s="5">
        <v>500</v>
      </c>
      <c r="D46" s="5" t="s">
        <v>289</v>
      </c>
      <c r="E46" s="6">
        <v>100</v>
      </c>
      <c r="G46" t="s">
        <v>60</v>
      </c>
      <c r="H46">
        <v>1</v>
      </c>
    </row>
    <row r="47" spans="1:8" ht="18.75" x14ac:dyDescent="0.3">
      <c r="A47" s="5" t="s">
        <v>253</v>
      </c>
      <c r="B47" s="5">
        <v>500</v>
      </c>
      <c r="C47" s="1"/>
      <c r="D47" s="5" t="s">
        <v>434</v>
      </c>
      <c r="E47" s="6">
        <v>100</v>
      </c>
      <c r="G47" t="s">
        <v>61</v>
      </c>
      <c r="H47">
        <v>1</v>
      </c>
    </row>
    <row r="48" spans="1:8" x14ac:dyDescent="0.25">
      <c r="A48" s="5" t="s">
        <v>254</v>
      </c>
      <c r="B48" s="5">
        <v>500</v>
      </c>
      <c r="D48" s="5" t="s">
        <v>349</v>
      </c>
      <c r="E48" s="6">
        <v>100</v>
      </c>
      <c r="G48" t="s">
        <v>62</v>
      </c>
      <c r="H48">
        <v>1</v>
      </c>
    </row>
    <row r="49" spans="1:8" x14ac:dyDescent="0.25">
      <c r="A49" s="5" t="s">
        <v>255</v>
      </c>
      <c r="B49" s="5">
        <v>500</v>
      </c>
      <c r="D49" s="5" t="s">
        <v>401</v>
      </c>
      <c r="E49" s="6">
        <v>100</v>
      </c>
      <c r="G49" t="s">
        <v>63</v>
      </c>
      <c r="H49">
        <v>1</v>
      </c>
    </row>
    <row r="50" spans="1:8" x14ac:dyDescent="0.25">
      <c r="A50" t="s">
        <v>12</v>
      </c>
      <c r="B50" s="5">
        <v>500</v>
      </c>
      <c r="D50" s="5" t="s">
        <v>357</v>
      </c>
      <c r="E50" s="6">
        <v>100</v>
      </c>
      <c r="G50" t="s">
        <v>118</v>
      </c>
      <c r="H50">
        <v>1</v>
      </c>
    </row>
    <row r="51" spans="1:8" x14ac:dyDescent="0.25">
      <c r="A51" s="5" t="s">
        <v>256</v>
      </c>
      <c r="B51" s="5">
        <v>500</v>
      </c>
      <c r="D51" s="5" t="s">
        <v>363</v>
      </c>
      <c r="E51" s="6">
        <v>100</v>
      </c>
      <c r="G51" t="s">
        <v>64</v>
      </c>
      <c r="H51">
        <v>1</v>
      </c>
    </row>
    <row r="52" spans="1:8" x14ac:dyDescent="0.25">
      <c r="A52" t="s">
        <v>13</v>
      </c>
      <c r="B52" s="5">
        <v>500</v>
      </c>
      <c r="D52" s="5" t="s">
        <v>298</v>
      </c>
      <c r="E52" s="6">
        <v>100</v>
      </c>
      <c r="G52" t="s">
        <v>121</v>
      </c>
      <c r="H52">
        <v>1</v>
      </c>
    </row>
    <row r="53" spans="1:8" x14ac:dyDescent="0.25">
      <c r="A53" s="5" t="s">
        <v>257</v>
      </c>
      <c r="B53" s="5">
        <v>500</v>
      </c>
      <c r="D53" s="5" t="s">
        <v>369</v>
      </c>
      <c r="E53" s="6">
        <v>100</v>
      </c>
      <c r="G53" t="s">
        <v>65</v>
      </c>
      <c r="H53">
        <v>1</v>
      </c>
    </row>
    <row r="54" spans="1:8" x14ac:dyDescent="0.25">
      <c r="A54" t="s">
        <v>14</v>
      </c>
      <c r="B54" s="5">
        <v>500</v>
      </c>
      <c r="D54" s="5" t="s">
        <v>366</v>
      </c>
      <c r="E54" s="6">
        <v>100</v>
      </c>
      <c r="G54" t="s">
        <v>87</v>
      </c>
      <c r="H54">
        <v>1</v>
      </c>
    </row>
    <row r="55" spans="1:8" x14ac:dyDescent="0.25">
      <c r="A55" t="s">
        <v>103</v>
      </c>
      <c r="B55" s="5">
        <v>500</v>
      </c>
      <c r="D55" s="5" t="s">
        <v>271</v>
      </c>
      <c r="E55" s="6">
        <v>100</v>
      </c>
      <c r="G55" t="s">
        <v>88</v>
      </c>
      <c r="H55">
        <v>1</v>
      </c>
    </row>
    <row r="56" spans="1:8" x14ac:dyDescent="0.25">
      <c r="A56" s="5" t="s">
        <v>258</v>
      </c>
      <c r="B56" s="5">
        <v>500</v>
      </c>
      <c r="D56" s="5" t="s">
        <v>300</v>
      </c>
      <c r="E56" s="6">
        <v>100</v>
      </c>
      <c r="G56" t="s">
        <v>89</v>
      </c>
      <c r="H56">
        <v>1</v>
      </c>
    </row>
    <row r="57" spans="1:8" x14ac:dyDescent="0.25">
      <c r="A57" s="5" t="s">
        <v>259</v>
      </c>
      <c r="B57" s="6">
        <v>50000</v>
      </c>
      <c r="D57" s="5" t="s">
        <v>400</v>
      </c>
      <c r="E57" s="6">
        <v>100</v>
      </c>
      <c r="G57" t="s">
        <v>124</v>
      </c>
      <c r="H57">
        <v>1</v>
      </c>
    </row>
    <row r="58" spans="1:8" x14ac:dyDescent="0.25">
      <c r="D58" s="5" t="s">
        <v>272</v>
      </c>
      <c r="E58" s="6">
        <v>1000</v>
      </c>
      <c r="G58" t="s">
        <v>90</v>
      </c>
      <c r="H58">
        <v>1</v>
      </c>
    </row>
    <row r="59" spans="1:8" x14ac:dyDescent="0.25">
      <c r="D59" s="5" t="s">
        <v>301</v>
      </c>
      <c r="E59" s="6">
        <v>1000</v>
      </c>
      <c r="G59" t="s">
        <v>127</v>
      </c>
      <c r="H59">
        <v>1</v>
      </c>
    </row>
    <row r="60" spans="1:8" x14ac:dyDescent="0.25">
      <c r="D60" s="5" t="s">
        <v>304</v>
      </c>
      <c r="E60" s="6">
        <v>1000</v>
      </c>
      <c r="G60" t="s">
        <v>130</v>
      </c>
      <c r="H60">
        <v>1</v>
      </c>
    </row>
    <row r="61" spans="1:8" x14ac:dyDescent="0.25">
      <c r="D61" s="5" t="s">
        <v>402</v>
      </c>
      <c r="E61" s="6">
        <v>1000</v>
      </c>
      <c r="G61" t="s">
        <v>133</v>
      </c>
      <c r="H61">
        <v>1</v>
      </c>
    </row>
    <row r="62" spans="1:8" x14ac:dyDescent="0.25">
      <c r="D62" s="5" t="s">
        <v>449</v>
      </c>
      <c r="E62" s="6">
        <v>1000</v>
      </c>
      <c r="G62" t="s">
        <v>136</v>
      </c>
      <c r="H62">
        <v>1</v>
      </c>
    </row>
    <row r="63" spans="1:8" x14ac:dyDescent="0.25">
      <c r="D63" s="5" t="s">
        <v>384</v>
      </c>
      <c r="E63" s="6">
        <v>1000</v>
      </c>
      <c r="G63" t="s">
        <v>91</v>
      </c>
      <c r="H63">
        <v>1</v>
      </c>
    </row>
    <row r="64" spans="1:8" x14ac:dyDescent="0.25">
      <c r="D64" s="5" t="s">
        <v>364</v>
      </c>
      <c r="E64" s="6">
        <v>1000</v>
      </c>
      <c r="G64" t="s">
        <v>66</v>
      </c>
      <c r="H64">
        <v>1</v>
      </c>
    </row>
    <row r="65" spans="4:8" x14ac:dyDescent="0.25">
      <c r="D65" s="5" t="s">
        <v>299</v>
      </c>
      <c r="E65" s="6">
        <v>1000</v>
      </c>
      <c r="G65" t="s">
        <v>175</v>
      </c>
      <c r="H65">
        <v>10</v>
      </c>
    </row>
    <row r="66" spans="4:8" x14ac:dyDescent="0.25">
      <c r="D66" s="5" t="s">
        <v>263</v>
      </c>
      <c r="E66" s="6">
        <v>1000</v>
      </c>
      <c r="G66" t="s">
        <v>67</v>
      </c>
      <c r="H66">
        <v>10</v>
      </c>
    </row>
    <row r="67" spans="4:8" x14ac:dyDescent="0.25">
      <c r="D67" s="5" t="s">
        <v>403</v>
      </c>
      <c r="E67" s="6">
        <v>1000</v>
      </c>
      <c r="G67" t="s">
        <v>139</v>
      </c>
      <c r="H67">
        <v>10</v>
      </c>
    </row>
    <row r="68" spans="4:8" x14ac:dyDescent="0.25">
      <c r="D68" s="5" t="s">
        <v>367</v>
      </c>
      <c r="E68" s="6">
        <v>1000</v>
      </c>
      <c r="G68" t="s">
        <v>68</v>
      </c>
      <c r="H68">
        <v>10</v>
      </c>
    </row>
    <row r="69" spans="4:8" x14ac:dyDescent="0.25">
      <c r="D69" s="5" t="s">
        <v>302</v>
      </c>
      <c r="E69" s="6">
        <v>1000</v>
      </c>
      <c r="G69" t="s">
        <v>141</v>
      </c>
      <c r="H69">
        <v>10</v>
      </c>
    </row>
    <row r="70" spans="4:8" x14ac:dyDescent="0.25">
      <c r="D70" s="5" t="s">
        <v>303</v>
      </c>
      <c r="E70" s="6">
        <v>1000</v>
      </c>
      <c r="G70" t="s">
        <v>177</v>
      </c>
      <c r="H70">
        <v>10</v>
      </c>
    </row>
    <row r="71" spans="4:8" x14ac:dyDescent="0.25">
      <c r="D71" s="5" t="s">
        <v>411</v>
      </c>
      <c r="E71" s="6">
        <v>1000</v>
      </c>
      <c r="G71" t="s">
        <v>69</v>
      </c>
      <c r="H71">
        <v>10</v>
      </c>
    </row>
    <row r="72" spans="4:8" x14ac:dyDescent="0.25">
      <c r="D72" s="5" t="s">
        <v>267</v>
      </c>
      <c r="E72" s="6">
        <v>1000</v>
      </c>
      <c r="G72" t="s">
        <v>70</v>
      </c>
      <c r="H72">
        <v>10</v>
      </c>
    </row>
    <row r="73" spans="4:8" x14ac:dyDescent="0.25">
      <c r="D73" t="s">
        <v>150</v>
      </c>
      <c r="E73" s="6">
        <v>1000</v>
      </c>
      <c r="G73" t="s">
        <v>143</v>
      </c>
      <c r="H73">
        <v>10</v>
      </c>
    </row>
    <row r="74" spans="4:8" x14ac:dyDescent="0.25">
      <c r="D74" s="5" t="s">
        <v>412</v>
      </c>
      <c r="E74" s="6">
        <v>10000</v>
      </c>
      <c r="G74" t="s">
        <v>119</v>
      </c>
      <c r="H74">
        <v>10</v>
      </c>
    </row>
    <row r="75" spans="4:8" x14ac:dyDescent="0.25">
      <c r="D75" s="5" t="s">
        <v>313</v>
      </c>
      <c r="E75" s="6">
        <v>10000</v>
      </c>
      <c r="G75" t="s">
        <v>71</v>
      </c>
      <c r="H75">
        <v>10</v>
      </c>
    </row>
    <row r="76" spans="4:8" x14ac:dyDescent="0.25">
      <c r="D76" s="5" t="s">
        <v>413</v>
      </c>
      <c r="E76" s="6">
        <v>10000</v>
      </c>
      <c r="G76" t="s">
        <v>72</v>
      </c>
      <c r="H76">
        <v>10</v>
      </c>
    </row>
    <row r="77" spans="4:8" x14ac:dyDescent="0.25">
      <c r="D77" s="5" t="s">
        <v>414</v>
      </c>
      <c r="E77" s="6">
        <v>10000</v>
      </c>
      <c r="G77" t="s">
        <v>73</v>
      </c>
      <c r="H77">
        <v>10</v>
      </c>
    </row>
    <row r="78" spans="4:8" x14ac:dyDescent="0.25">
      <c r="D78" s="5" t="s">
        <v>314</v>
      </c>
      <c r="E78" s="6">
        <v>10000</v>
      </c>
      <c r="G78" t="s">
        <v>74</v>
      </c>
      <c r="H78">
        <v>10</v>
      </c>
    </row>
    <row r="79" spans="4:8" x14ac:dyDescent="0.25">
      <c r="D79" t="s">
        <v>153</v>
      </c>
      <c r="E79" s="6">
        <v>10000</v>
      </c>
      <c r="G79" t="s">
        <v>75</v>
      </c>
      <c r="H79">
        <v>10</v>
      </c>
    </row>
    <row r="80" spans="4:8" x14ac:dyDescent="0.25">
      <c r="D80" s="5" t="s">
        <v>153</v>
      </c>
      <c r="E80" s="6">
        <v>10000</v>
      </c>
      <c r="G80" t="s">
        <v>76</v>
      </c>
      <c r="H80">
        <v>10</v>
      </c>
    </row>
    <row r="81" spans="4:8" x14ac:dyDescent="0.25">
      <c r="D81" s="5" t="s">
        <v>315</v>
      </c>
      <c r="E81" s="6">
        <v>10000</v>
      </c>
      <c r="G81" t="s">
        <v>122</v>
      </c>
      <c r="H81">
        <v>10</v>
      </c>
    </row>
    <row r="82" spans="4:8" x14ac:dyDescent="0.25">
      <c r="D82" t="s">
        <v>179</v>
      </c>
      <c r="E82" s="6">
        <v>10000</v>
      </c>
      <c r="G82" t="s">
        <v>77</v>
      </c>
      <c r="H82">
        <v>10</v>
      </c>
    </row>
    <row r="83" spans="4:8" x14ac:dyDescent="0.25">
      <c r="D83" s="5" t="s">
        <v>179</v>
      </c>
      <c r="E83" s="6">
        <v>10000</v>
      </c>
      <c r="G83" t="s">
        <v>125</v>
      </c>
      <c r="H83">
        <v>10</v>
      </c>
    </row>
    <row r="84" spans="4:8" x14ac:dyDescent="0.25">
      <c r="D84" s="5" t="s">
        <v>268</v>
      </c>
      <c r="E84" s="6">
        <v>10000</v>
      </c>
      <c r="G84" t="s">
        <v>78</v>
      </c>
      <c r="H84">
        <v>10</v>
      </c>
    </row>
    <row r="85" spans="4:8" x14ac:dyDescent="0.25">
      <c r="D85" t="s">
        <v>156</v>
      </c>
      <c r="E85" s="6">
        <v>10000</v>
      </c>
      <c r="G85" t="s">
        <v>80</v>
      </c>
      <c r="H85">
        <v>10</v>
      </c>
    </row>
    <row r="86" spans="4:8" x14ac:dyDescent="0.25">
      <c r="D86" s="5" t="s">
        <v>415</v>
      </c>
      <c r="E86" s="6">
        <v>10000</v>
      </c>
      <c r="G86" t="s">
        <v>79</v>
      </c>
      <c r="H86">
        <v>10</v>
      </c>
    </row>
    <row r="87" spans="4:8" x14ac:dyDescent="0.25">
      <c r="D87" s="5" t="s">
        <v>316</v>
      </c>
      <c r="E87" s="6">
        <v>10000</v>
      </c>
      <c r="G87" t="s">
        <v>128</v>
      </c>
      <c r="H87">
        <v>10</v>
      </c>
    </row>
    <row r="88" spans="4:8" x14ac:dyDescent="0.25">
      <c r="D88" t="s">
        <v>159</v>
      </c>
      <c r="E88" s="6">
        <v>10000</v>
      </c>
      <c r="G88" t="s">
        <v>131</v>
      </c>
      <c r="H88">
        <v>10</v>
      </c>
    </row>
    <row r="89" spans="4:8" x14ac:dyDescent="0.25">
      <c r="D89" s="5" t="s">
        <v>159</v>
      </c>
      <c r="E89" s="6">
        <v>10000</v>
      </c>
      <c r="G89" t="s">
        <v>81</v>
      </c>
      <c r="H89">
        <v>10</v>
      </c>
    </row>
    <row r="90" spans="4:8" x14ac:dyDescent="0.25">
      <c r="D90" t="s">
        <v>16</v>
      </c>
      <c r="E90" s="6">
        <v>10000</v>
      </c>
      <c r="G90" t="s">
        <v>92</v>
      </c>
      <c r="H90">
        <v>10</v>
      </c>
    </row>
    <row r="91" spans="4:8" x14ac:dyDescent="0.25">
      <c r="D91" s="5" t="s">
        <v>16</v>
      </c>
      <c r="E91" s="6">
        <v>100000</v>
      </c>
      <c r="G91" t="s">
        <v>93</v>
      </c>
      <c r="H91">
        <v>10</v>
      </c>
    </row>
    <row r="92" spans="4:8" x14ac:dyDescent="0.25">
      <c r="D92" t="s">
        <v>220</v>
      </c>
      <c r="E92" s="6">
        <v>100000</v>
      </c>
      <c r="G92" t="s">
        <v>134</v>
      </c>
      <c r="H92">
        <v>100</v>
      </c>
    </row>
    <row r="93" spans="4:8" x14ac:dyDescent="0.25">
      <c r="D93" t="s">
        <v>162</v>
      </c>
      <c r="E93" s="6">
        <v>100000</v>
      </c>
      <c r="G93" t="s">
        <v>94</v>
      </c>
      <c r="H93">
        <v>100</v>
      </c>
    </row>
    <row r="94" spans="4:8" x14ac:dyDescent="0.25">
      <c r="D94" s="5" t="s">
        <v>162</v>
      </c>
      <c r="E94" s="6">
        <v>100000</v>
      </c>
      <c r="G94" t="s">
        <v>95</v>
      </c>
      <c r="H94">
        <v>100</v>
      </c>
    </row>
    <row r="95" spans="4:8" x14ac:dyDescent="0.25">
      <c r="D95" s="5" t="s">
        <v>416</v>
      </c>
      <c r="E95" s="6">
        <v>100000</v>
      </c>
      <c r="G95" t="s">
        <v>137</v>
      </c>
      <c r="H95">
        <v>100</v>
      </c>
    </row>
    <row r="96" spans="4:8" x14ac:dyDescent="0.25">
      <c r="D96" s="5" t="s">
        <v>417</v>
      </c>
      <c r="E96" s="6">
        <v>100000</v>
      </c>
      <c r="G96" t="s">
        <v>96</v>
      </c>
      <c r="H96">
        <v>100</v>
      </c>
    </row>
    <row r="97" spans="4:8" x14ac:dyDescent="0.25">
      <c r="D97" s="5" t="s">
        <v>388</v>
      </c>
      <c r="E97" s="6">
        <v>100000</v>
      </c>
      <c r="G97" t="s">
        <v>140</v>
      </c>
      <c r="H97">
        <v>100</v>
      </c>
    </row>
    <row r="98" spans="4:8" x14ac:dyDescent="0.25">
      <c r="D98" s="5" t="s">
        <v>318</v>
      </c>
      <c r="E98" s="6">
        <v>100000</v>
      </c>
      <c r="G98" t="s">
        <v>173</v>
      </c>
      <c r="H98">
        <v>100</v>
      </c>
    </row>
    <row r="99" spans="4:8" x14ac:dyDescent="0.25">
      <c r="D99" s="5" t="s">
        <v>317</v>
      </c>
      <c r="E99" s="6">
        <v>100000</v>
      </c>
    </row>
    <row r="100" spans="4:8" x14ac:dyDescent="0.25">
      <c r="D100" s="5" t="s">
        <v>389</v>
      </c>
      <c r="E100" s="6">
        <v>100000</v>
      </c>
    </row>
    <row r="101" spans="4:8" x14ac:dyDescent="0.25">
      <c r="D101" t="s">
        <v>17</v>
      </c>
      <c r="E101" s="6">
        <v>1000000</v>
      </c>
    </row>
    <row r="102" spans="4:8" x14ac:dyDescent="0.25">
      <c r="D102" s="5" t="s">
        <v>17</v>
      </c>
      <c r="E102" s="6">
        <v>1000000</v>
      </c>
    </row>
    <row r="103" spans="4:8" x14ac:dyDescent="0.25">
      <c r="D103" s="5" t="s">
        <v>418</v>
      </c>
      <c r="E103" s="6">
        <v>1000000</v>
      </c>
    </row>
    <row r="104" spans="4:8" x14ac:dyDescent="0.25">
      <c r="D104" s="5" t="s">
        <v>390</v>
      </c>
      <c r="E104" s="6">
        <v>1000000</v>
      </c>
    </row>
    <row r="105" spans="4:8" x14ac:dyDescent="0.25">
      <c r="D105" s="5" t="s">
        <v>269</v>
      </c>
      <c r="E105" s="6">
        <v>1000000</v>
      </c>
    </row>
    <row r="106" spans="4:8" x14ac:dyDescent="0.25">
      <c r="D106" t="s">
        <v>213</v>
      </c>
      <c r="E106" s="6">
        <v>1000000</v>
      </c>
    </row>
    <row r="107" spans="4:8" x14ac:dyDescent="0.25">
      <c r="D107" t="s">
        <v>196</v>
      </c>
      <c r="E107" s="6">
        <v>1000000</v>
      </c>
    </row>
    <row r="108" spans="4:8" x14ac:dyDescent="0.25">
      <c r="D108" s="5" t="s">
        <v>319</v>
      </c>
      <c r="E108" s="6">
        <v>1000000</v>
      </c>
    </row>
    <row r="109" spans="4:8" x14ac:dyDescent="0.25">
      <c r="D109" t="s">
        <v>182</v>
      </c>
      <c r="E109" s="6">
        <v>1000000</v>
      </c>
    </row>
    <row r="110" spans="4:8" x14ac:dyDescent="0.25">
      <c r="D110" s="5" t="s">
        <v>419</v>
      </c>
      <c r="E110" s="6">
        <v>1000000</v>
      </c>
    </row>
    <row r="111" spans="4:8" x14ac:dyDescent="0.25">
      <c r="D111" t="s">
        <v>165</v>
      </c>
      <c r="E111" s="6">
        <v>1000000</v>
      </c>
    </row>
    <row r="112" spans="4:8" x14ac:dyDescent="0.25">
      <c r="D112" t="s">
        <v>106</v>
      </c>
      <c r="E112" s="7">
        <v>500</v>
      </c>
    </row>
    <row r="113" spans="4:5" x14ac:dyDescent="0.25">
      <c r="D113" s="5" t="s">
        <v>275</v>
      </c>
      <c r="E113" s="7">
        <v>500</v>
      </c>
    </row>
    <row r="114" spans="4:5" x14ac:dyDescent="0.25">
      <c r="D114" s="5" t="s">
        <v>391</v>
      </c>
      <c r="E114" s="7">
        <v>500</v>
      </c>
    </row>
    <row r="115" spans="4:5" x14ac:dyDescent="0.25">
      <c r="D115" t="s">
        <v>18</v>
      </c>
      <c r="E115" s="7">
        <v>500</v>
      </c>
    </row>
    <row r="116" spans="4:5" x14ac:dyDescent="0.25">
      <c r="D116" s="5" t="s">
        <v>421</v>
      </c>
      <c r="E116" s="7">
        <v>500</v>
      </c>
    </row>
    <row r="117" spans="4:5" x14ac:dyDescent="0.25">
      <c r="D117" t="s">
        <v>19</v>
      </c>
      <c r="E117" s="7">
        <v>500</v>
      </c>
    </row>
    <row r="118" spans="4:5" x14ac:dyDescent="0.25">
      <c r="D118" s="5" t="s">
        <v>321</v>
      </c>
      <c r="E118" s="7">
        <v>500</v>
      </c>
    </row>
    <row r="119" spans="4:5" x14ac:dyDescent="0.25">
      <c r="D119" s="5" t="s">
        <v>422</v>
      </c>
      <c r="E119" s="7">
        <v>500</v>
      </c>
    </row>
    <row r="120" spans="4:5" x14ac:dyDescent="0.25">
      <c r="D120" s="5" t="s">
        <v>392</v>
      </c>
      <c r="E120" s="6">
        <v>3000</v>
      </c>
    </row>
    <row r="121" spans="4:5" x14ac:dyDescent="0.25">
      <c r="D121" s="5" t="s">
        <v>393</v>
      </c>
      <c r="E121" s="6">
        <v>3000</v>
      </c>
    </row>
    <row r="122" spans="4:5" x14ac:dyDescent="0.25">
      <c r="D122" t="s">
        <v>20</v>
      </c>
      <c r="E122" s="6">
        <v>3000</v>
      </c>
    </row>
    <row r="123" spans="4:5" x14ac:dyDescent="0.25">
      <c r="D123" s="5" t="s">
        <v>20</v>
      </c>
      <c r="E123" s="6">
        <v>3000</v>
      </c>
    </row>
    <row r="124" spans="4:5" x14ac:dyDescent="0.25">
      <c r="D124" t="s">
        <v>185</v>
      </c>
      <c r="E124" s="6">
        <v>3000</v>
      </c>
    </row>
    <row r="125" spans="4:5" x14ac:dyDescent="0.25">
      <c r="D125" s="5" t="s">
        <v>324</v>
      </c>
      <c r="E125" s="6">
        <v>3000</v>
      </c>
    </row>
    <row r="126" spans="4:5" x14ac:dyDescent="0.25">
      <c r="D126" s="5" t="s">
        <v>322</v>
      </c>
      <c r="E126" s="6">
        <v>3000</v>
      </c>
    </row>
    <row r="127" spans="4:5" x14ac:dyDescent="0.25">
      <c r="D127" s="5" t="s">
        <v>323</v>
      </c>
      <c r="E127" s="6">
        <v>3000</v>
      </c>
    </row>
    <row r="128" spans="4:5" x14ac:dyDescent="0.25">
      <c r="D128" t="s">
        <v>199</v>
      </c>
      <c r="E128" s="6">
        <v>3000</v>
      </c>
    </row>
    <row r="129" spans="4:5" x14ac:dyDescent="0.25">
      <c r="D129" t="s">
        <v>21</v>
      </c>
      <c r="E129" s="6">
        <v>3000</v>
      </c>
    </row>
    <row r="130" spans="4:5" x14ac:dyDescent="0.25">
      <c r="D130" s="5" t="s">
        <v>21</v>
      </c>
      <c r="E130" s="6">
        <v>3000</v>
      </c>
    </row>
    <row r="131" spans="4:5" x14ac:dyDescent="0.25">
      <c r="D131" s="5" t="s">
        <v>276</v>
      </c>
      <c r="E131" s="6">
        <v>3000</v>
      </c>
    </row>
    <row r="132" spans="4:5" x14ac:dyDescent="0.25">
      <c r="D132" t="s">
        <v>223</v>
      </c>
      <c r="E132" s="6">
        <v>10000</v>
      </c>
    </row>
    <row r="133" spans="4:5" x14ac:dyDescent="0.25">
      <c r="D133" t="s">
        <v>167</v>
      </c>
      <c r="E133" s="6">
        <v>10000</v>
      </c>
    </row>
    <row r="134" spans="4:5" x14ac:dyDescent="0.25">
      <c r="D134" s="5" t="s">
        <v>423</v>
      </c>
      <c r="E134" s="6">
        <v>10000</v>
      </c>
    </row>
    <row r="135" spans="4:5" x14ac:dyDescent="0.25">
      <c r="D135" t="s">
        <v>188</v>
      </c>
      <c r="E135" s="6">
        <v>10000</v>
      </c>
    </row>
    <row r="136" spans="4:5" x14ac:dyDescent="0.25">
      <c r="D136" t="s">
        <v>22</v>
      </c>
      <c r="E136" s="6">
        <v>10000</v>
      </c>
    </row>
    <row r="137" spans="4:5" x14ac:dyDescent="0.25">
      <c r="D137" s="5" t="s">
        <v>280</v>
      </c>
      <c r="E137" s="6">
        <v>10000</v>
      </c>
    </row>
    <row r="138" spans="4:5" x14ac:dyDescent="0.25">
      <c r="D138" t="s">
        <v>107</v>
      </c>
      <c r="E138" s="6">
        <v>10000</v>
      </c>
    </row>
    <row r="139" spans="4:5" x14ac:dyDescent="0.25">
      <c r="D139" s="5" t="s">
        <v>279</v>
      </c>
      <c r="E139" s="6">
        <v>10000</v>
      </c>
    </row>
    <row r="140" spans="4:5" x14ac:dyDescent="0.25">
      <c r="D140" s="5" t="s">
        <v>424</v>
      </c>
      <c r="E140" s="6">
        <v>10000</v>
      </c>
    </row>
    <row r="141" spans="4:5" x14ac:dyDescent="0.25">
      <c r="D141" t="s">
        <v>202</v>
      </c>
      <c r="E141" s="6">
        <v>10000</v>
      </c>
    </row>
    <row r="142" spans="4:5" x14ac:dyDescent="0.25">
      <c r="D142" t="s">
        <v>180</v>
      </c>
      <c r="E142" s="6">
        <v>10000</v>
      </c>
    </row>
    <row r="143" spans="4:5" x14ac:dyDescent="0.25">
      <c r="D143" t="s">
        <v>191</v>
      </c>
      <c r="E143" s="6">
        <v>10000</v>
      </c>
    </row>
    <row r="144" spans="4:5" x14ac:dyDescent="0.25">
      <c r="D144" s="5" t="s">
        <v>326</v>
      </c>
      <c r="E144" s="6">
        <v>10000</v>
      </c>
    </row>
    <row r="145" spans="4:5" x14ac:dyDescent="0.25">
      <c r="D145" s="5" t="s">
        <v>261</v>
      </c>
      <c r="E145" s="6">
        <v>10000</v>
      </c>
    </row>
    <row r="146" spans="4:5" x14ac:dyDescent="0.25">
      <c r="D146" t="s">
        <v>23</v>
      </c>
      <c r="E146" s="6">
        <v>10000</v>
      </c>
    </row>
    <row r="147" spans="4:5" x14ac:dyDescent="0.25">
      <c r="D147" s="5" t="s">
        <v>281</v>
      </c>
      <c r="E147" s="6">
        <v>10000</v>
      </c>
    </row>
    <row r="148" spans="4:5" x14ac:dyDescent="0.25">
      <c r="D148" s="5" t="s">
        <v>327</v>
      </c>
      <c r="E148" s="6">
        <v>10000</v>
      </c>
    </row>
    <row r="149" spans="4:5" x14ac:dyDescent="0.25">
      <c r="D149" s="5" t="s">
        <v>270</v>
      </c>
      <c r="E149" s="6">
        <v>10000</v>
      </c>
    </row>
    <row r="150" spans="4:5" x14ac:dyDescent="0.25">
      <c r="D150" s="5" t="s">
        <v>425</v>
      </c>
      <c r="E150" s="6">
        <v>10000</v>
      </c>
    </row>
    <row r="151" spans="4:5" x14ac:dyDescent="0.25">
      <c r="D151" t="s">
        <v>169</v>
      </c>
      <c r="E151" s="6">
        <v>10000</v>
      </c>
    </row>
    <row r="152" spans="4:5" x14ac:dyDescent="0.25">
      <c r="D152" t="s">
        <v>216</v>
      </c>
      <c r="E152" s="6">
        <v>10000</v>
      </c>
    </row>
    <row r="153" spans="4:5" x14ac:dyDescent="0.25">
      <c r="D153" s="5" t="s">
        <v>216</v>
      </c>
      <c r="E153" s="6">
        <v>10000</v>
      </c>
    </row>
    <row r="154" spans="4:5" x14ac:dyDescent="0.25">
      <c r="D154" t="s">
        <v>226</v>
      </c>
      <c r="E154" s="6">
        <v>10000</v>
      </c>
    </row>
    <row r="155" spans="4:5" x14ac:dyDescent="0.25">
      <c r="D155" s="5" t="s">
        <v>328</v>
      </c>
      <c r="E155" s="6">
        <v>10000</v>
      </c>
    </row>
    <row r="156" spans="4:5" x14ac:dyDescent="0.25">
      <c r="D156" s="5" t="s">
        <v>329</v>
      </c>
      <c r="E156" s="6">
        <v>10000</v>
      </c>
    </row>
    <row r="157" spans="4:5" x14ac:dyDescent="0.25">
      <c r="D157" t="s">
        <v>205</v>
      </c>
      <c r="E157" s="6">
        <v>10000</v>
      </c>
    </row>
    <row r="158" spans="4:5" x14ac:dyDescent="0.25">
      <c r="D158" t="s">
        <v>218</v>
      </c>
      <c r="E158" s="6">
        <v>10000</v>
      </c>
    </row>
    <row r="159" spans="4:5" x14ac:dyDescent="0.25">
      <c r="D159" t="s">
        <v>229</v>
      </c>
      <c r="E159" s="6">
        <v>10000</v>
      </c>
    </row>
    <row r="160" spans="4:5" x14ac:dyDescent="0.25">
      <c r="D160" s="5" t="s">
        <v>283</v>
      </c>
      <c r="E160" s="6">
        <v>10000</v>
      </c>
    </row>
    <row r="161" spans="4:5" x14ac:dyDescent="0.25">
      <c r="D161" s="5" t="s">
        <v>426</v>
      </c>
      <c r="E161" s="6">
        <v>10000</v>
      </c>
    </row>
    <row r="162" spans="4:5" x14ac:dyDescent="0.25">
      <c r="D162" s="5" t="s">
        <v>427</v>
      </c>
      <c r="E162" s="6">
        <v>10000</v>
      </c>
    </row>
    <row r="163" spans="4:5" x14ac:dyDescent="0.25">
      <c r="D163" s="5" t="s">
        <v>284</v>
      </c>
      <c r="E163" s="6">
        <v>10000</v>
      </c>
    </row>
    <row r="164" spans="4:5" x14ac:dyDescent="0.25">
      <c r="D164" s="5" t="s">
        <v>336</v>
      </c>
      <c r="E164" s="6">
        <v>10000</v>
      </c>
    </row>
    <row r="165" spans="4:5" x14ac:dyDescent="0.25">
      <c r="D165" s="5" t="s">
        <v>337</v>
      </c>
      <c r="E165" s="6">
        <v>10000</v>
      </c>
    </row>
    <row r="166" spans="4:5" x14ac:dyDescent="0.25">
      <c r="D166" t="s">
        <v>221</v>
      </c>
      <c r="E166" s="6">
        <v>10000</v>
      </c>
    </row>
    <row r="167" spans="4:5" x14ac:dyDescent="0.25">
      <c r="D167" s="5" t="s">
        <v>331</v>
      </c>
      <c r="E167" s="6">
        <v>10000</v>
      </c>
    </row>
    <row r="168" spans="4:5" x14ac:dyDescent="0.25">
      <c r="D168" t="s">
        <v>224</v>
      </c>
      <c r="E168" s="6">
        <v>10000</v>
      </c>
    </row>
    <row r="169" spans="4:5" x14ac:dyDescent="0.25">
      <c r="D169" s="5" t="s">
        <v>335</v>
      </c>
      <c r="E169" s="6">
        <v>10000</v>
      </c>
    </row>
    <row r="170" spans="4:5" x14ac:dyDescent="0.25">
      <c r="D170" t="s">
        <v>227</v>
      </c>
      <c r="E170" s="6">
        <v>10000</v>
      </c>
    </row>
    <row r="171" spans="4:5" x14ac:dyDescent="0.25">
      <c r="D171" t="s">
        <v>24</v>
      </c>
      <c r="E171" s="6">
        <v>10000</v>
      </c>
    </row>
    <row r="172" spans="4:5" x14ac:dyDescent="0.25">
      <c r="D172" s="5" t="s">
        <v>24</v>
      </c>
      <c r="E172" s="6">
        <v>10000</v>
      </c>
    </row>
    <row r="173" spans="4:5" x14ac:dyDescent="0.25">
      <c r="D173" t="s">
        <v>148</v>
      </c>
      <c r="E173" s="6">
        <v>10000</v>
      </c>
    </row>
    <row r="174" spans="4:5" x14ac:dyDescent="0.25">
      <c r="D174" s="5" t="s">
        <v>148</v>
      </c>
      <c r="E174" s="6">
        <v>10000</v>
      </c>
    </row>
    <row r="175" spans="4:5" x14ac:dyDescent="0.25">
      <c r="D175" t="s">
        <v>25</v>
      </c>
      <c r="E175" s="6">
        <v>20000</v>
      </c>
    </row>
    <row r="176" spans="4:5" x14ac:dyDescent="0.25">
      <c r="D176" t="s">
        <v>186</v>
      </c>
      <c r="E176" s="6">
        <v>20000</v>
      </c>
    </row>
    <row r="177" spans="4:5" x14ac:dyDescent="0.25">
      <c r="D177" s="5" t="s">
        <v>431</v>
      </c>
      <c r="E177" s="6">
        <v>20000</v>
      </c>
    </row>
    <row r="178" spans="4:5" x14ac:dyDescent="0.25">
      <c r="D178" s="5" t="s">
        <v>398</v>
      </c>
      <c r="E178" s="6">
        <v>20000</v>
      </c>
    </row>
    <row r="179" spans="4:5" x14ac:dyDescent="0.25">
      <c r="D179" t="s">
        <v>151</v>
      </c>
      <c r="E179" s="6">
        <v>20000</v>
      </c>
    </row>
    <row r="180" spans="4:5" x14ac:dyDescent="0.25">
      <c r="D180" t="s">
        <v>211</v>
      </c>
      <c r="E180" s="6">
        <v>20000</v>
      </c>
    </row>
    <row r="181" spans="4:5" x14ac:dyDescent="0.25">
      <c r="D181" s="5" t="s">
        <v>290</v>
      </c>
      <c r="E181" s="6">
        <v>20000</v>
      </c>
    </row>
    <row r="182" spans="4:5" x14ac:dyDescent="0.25">
      <c r="D182" t="s">
        <v>214</v>
      </c>
      <c r="E182" s="6">
        <v>20000</v>
      </c>
    </row>
    <row r="183" spans="4:5" x14ac:dyDescent="0.25">
      <c r="D183" s="5" t="s">
        <v>338</v>
      </c>
      <c r="E183" s="6">
        <v>20000</v>
      </c>
    </row>
    <row r="184" spans="4:5" x14ac:dyDescent="0.25">
      <c r="D184" s="5" t="s">
        <v>339</v>
      </c>
      <c r="E184" s="6">
        <v>20000</v>
      </c>
    </row>
    <row r="185" spans="4:5" x14ac:dyDescent="0.25">
      <c r="D185" s="5" t="s">
        <v>291</v>
      </c>
      <c r="E185" s="6">
        <v>20000</v>
      </c>
    </row>
    <row r="186" spans="4:5" x14ac:dyDescent="0.25">
      <c r="D186" s="5" t="s">
        <v>432</v>
      </c>
      <c r="E186" s="6">
        <v>20000</v>
      </c>
    </row>
    <row r="187" spans="4:5" x14ac:dyDescent="0.25">
      <c r="D187" s="5" t="s">
        <v>340</v>
      </c>
      <c r="E187" s="6">
        <v>20000</v>
      </c>
    </row>
    <row r="188" spans="4:5" x14ac:dyDescent="0.25">
      <c r="D188" s="5" t="s">
        <v>433</v>
      </c>
      <c r="E188" s="6">
        <v>20000</v>
      </c>
    </row>
    <row r="189" spans="4:5" x14ac:dyDescent="0.25">
      <c r="D189" s="5" t="s">
        <v>341</v>
      </c>
      <c r="E189" s="6">
        <v>20000</v>
      </c>
    </row>
    <row r="190" spans="4:5" x14ac:dyDescent="0.25">
      <c r="D190" s="5" t="s">
        <v>435</v>
      </c>
      <c r="E190" s="6">
        <v>20000</v>
      </c>
    </row>
    <row r="191" spans="4:5" x14ac:dyDescent="0.25">
      <c r="D191" s="5" t="s">
        <v>342</v>
      </c>
      <c r="E191" s="6">
        <v>20000</v>
      </c>
    </row>
    <row r="192" spans="4:5" x14ac:dyDescent="0.25">
      <c r="D192" s="5" t="s">
        <v>343</v>
      </c>
      <c r="E192" s="6">
        <v>20000</v>
      </c>
    </row>
    <row r="193" spans="4:5" x14ac:dyDescent="0.25">
      <c r="D193" s="5" t="s">
        <v>344</v>
      </c>
      <c r="E193" s="6">
        <v>20000</v>
      </c>
    </row>
    <row r="194" spans="4:5" x14ac:dyDescent="0.25">
      <c r="D194" s="5" t="s">
        <v>262</v>
      </c>
      <c r="E194" s="6">
        <v>20000</v>
      </c>
    </row>
    <row r="195" spans="4:5" x14ac:dyDescent="0.25">
      <c r="D195" t="s">
        <v>208</v>
      </c>
      <c r="E195" s="6">
        <v>20000</v>
      </c>
    </row>
    <row r="196" spans="4:5" x14ac:dyDescent="0.25">
      <c r="D196" s="5" t="s">
        <v>436</v>
      </c>
      <c r="E196" s="6">
        <v>20000</v>
      </c>
    </row>
    <row r="197" spans="4:5" x14ac:dyDescent="0.25">
      <c r="D197" s="5" t="s">
        <v>345</v>
      </c>
      <c r="E197" s="6">
        <v>20000</v>
      </c>
    </row>
    <row r="198" spans="4:5" x14ac:dyDescent="0.25">
      <c r="D198" s="5" t="s">
        <v>437</v>
      </c>
      <c r="E198" s="6">
        <v>20000</v>
      </c>
    </row>
    <row r="199" spans="4:5" x14ac:dyDescent="0.25">
      <c r="D199" s="5" t="s">
        <v>292</v>
      </c>
      <c r="E199" s="6">
        <v>20000</v>
      </c>
    </row>
    <row r="200" spans="4:5" x14ac:dyDescent="0.25">
      <c r="D200" s="5" t="s">
        <v>293</v>
      </c>
      <c r="E200" s="6">
        <v>20000</v>
      </c>
    </row>
    <row r="201" spans="4:5" x14ac:dyDescent="0.25">
      <c r="D201" t="s">
        <v>217</v>
      </c>
      <c r="E201" s="6">
        <v>20000</v>
      </c>
    </row>
    <row r="202" spans="4:5" x14ac:dyDescent="0.25">
      <c r="D202" s="5" t="s">
        <v>438</v>
      </c>
      <c r="E202" s="6">
        <v>20000</v>
      </c>
    </row>
    <row r="203" spans="4:5" x14ac:dyDescent="0.25">
      <c r="D203" s="5" t="s">
        <v>347</v>
      </c>
      <c r="E203" s="6">
        <v>20000</v>
      </c>
    </row>
    <row r="204" spans="4:5" x14ac:dyDescent="0.25">
      <c r="D204" t="s">
        <v>26</v>
      </c>
      <c r="E204" s="6">
        <v>20000</v>
      </c>
    </row>
    <row r="205" spans="4:5" x14ac:dyDescent="0.25">
      <c r="D205" t="s">
        <v>194</v>
      </c>
      <c r="E205" s="6">
        <v>20000</v>
      </c>
    </row>
    <row r="206" spans="4:5" x14ac:dyDescent="0.25">
      <c r="D206" t="s">
        <v>197</v>
      </c>
      <c r="E206" s="6">
        <v>20000</v>
      </c>
    </row>
    <row r="207" spans="4:5" x14ac:dyDescent="0.25">
      <c r="D207" s="5" t="s">
        <v>294</v>
      </c>
      <c r="E207" s="6">
        <v>20000</v>
      </c>
    </row>
    <row r="208" spans="4:5" x14ac:dyDescent="0.25">
      <c r="D208" s="5" t="s">
        <v>399</v>
      </c>
      <c r="E208" s="6">
        <v>20000</v>
      </c>
    </row>
    <row r="209" spans="4:5" x14ac:dyDescent="0.25">
      <c r="D209" s="5" t="s">
        <v>295</v>
      </c>
      <c r="E209" s="6">
        <v>20000</v>
      </c>
    </row>
    <row r="210" spans="4:5" x14ac:dyDescent="0.25">
      <c r="D210" s="5" t="s">
        <v>346</v>
      </c>
      <c r="E210" s="6">
        <v>20000</v>
      </c>
    </row>
    <row r="211" spans="4:5" x14ac:dyDescent="0.25">
      <c r="D211" t="s">
        <v>230</v>
      </c>
      <c r="E211" s="6">
        <v>20000</v>
      </c>
    </row>
    <row r="212" spans="4:5" x14ac:dyDescent="0.25">
      <c r="D212" t="s">
        <v>27</v>
      </c>
      <c r="E212" s="6">
        <v>20000</v>
      </c>
    </row>
    <row r="213" spans="4:5" x14ac:dyDescent="0.25">
      <c r="D213" s="5" t="s">
        <v>27</v>
      </c>
      <c r="E213" s="6">
        <v>20000</v>
      </c>
    </row>
    <row r="214" spans="4:5" x14ac:dyDescent="0.25">
      <c r="D214" t="s">
        <v>200</v>
      </c>
      <c r="E214" s="6">
        <v>20000</v>
      </c>
    </row>
    <row r="215" spans="4:5" x14ac:dyDescent="0.25">
      <c r="D215" s="5" t="s">
        <v>350</v>
      </c>
      <c r="E215" s="6">
        <v>20000</v>
      </c>
    </row>
    <row r="216" spans="4:5" x14ac:dyDescent="0.25">
      <c r="D216" s="5" t="s">
        <v>351</v>
      </c>
      <c r="E216" s="6">
        <v>20000</v>
      </c>
    </row>
    <row r="217" spans="4:5" x14ac:dyDescent="0.25">
      <c r="D217" s="5" t="s">
        <v>352</v>
      </c>
      <c r="E217" s="6">
        <v>20000</v>
      </c>
    </row>
    <row r="218" spans="4:5" x14ac:dyDescent="0.25">
      <c r="D218" s="5" t="s">
        <v>353</v>
      </c>
      <c r="E218" s="6">
        <v>20000</v>
      </c>
    </row>
    <row r="219" spans="4:5" x14ac:dyDescent="0.25">
      <c r="D219" t="s">
        <v>203</v>
      </c>
      <c r="E219" s="6">
        <v>20000</v>
      </c>
    </row>
    <row r="220" spans="4:5" x14ac:dyDescent="0.25">
      <c r="D220" s="5" t="s">
        <v>355</v>
      </c>
      <c r="E220" s="6">
        <v>20000</v>
      </c>
    </row>
    <row r="221" spans="4:5" x14ac:dyDescent="0.25">
      <c r="D221" t="s">
        <v>154</v>
      </c>
      <c r="E221" s="6">
        <v>20000</v>
      </c>
    </row>
    <row r="222" spans="4:5" x14ac:dyDescent="0.25">
      <c r="D222" s="5" t="s">
        <v>439</v>
      </c>
      <c r="E222" s="6">
        <v>20000</v>
      </c>
    </row>
    <row r="223" spans="4:5" x14ac:dyDescent="0.25">
      <c r="D223" s="5" t="s">
        <v>356</v>
      </c>
      <c r="E223" s="6">
        <v>20000</v>
      </c>
    </row>
    <row r="224" spans="4:5" x14ac:dyDescent="0.25">
      <c r="D224" t="s">
        <v>189</v>
      </c>
      <c r="E224" s="6">
        <v>20000</v>
      </c>
    </row>
    <row r="225" spans="4:5" x14ac:dyDescent="0.25">
      <c r="D225" t="s">
        <v>28</v>
      </c>
      <c r="E225" s="6">
        <v>20000</v>
      </c>
    </row>
    <row r="226" spans="4:5" x14ac:dyDescent="0.25">
      <c r="D226" s="5" t="s">
        <v>440</v>
      </c>
      <c r="E226" s="6">
        <v>20000</v>
      </c>
    </row>
    <row r="227" spans="4:5" x14ac:dyDescent="0.25">
      <c r="D227" s="5" t="s">
        <v>296</v>
      </c>
      <c r="E227" s="6">
        <v>20000</v>
      </c>
    </row>
    <row r="228" spans="4:5" x14ac:dyDescent="0.25">
      <c r="D228" s="5" t="s">
        <v>297</v>
      </c>
      <c r="E228" s="6">
        <v>20000</v>
      </c>
    </row>
    <row r="229" spans="4:5" x14ac:dyDescent="0.25">
      <c r="D229" t="s">
        <v>206</v>
      </c>
      <c r="E229" s="6">
        <v>20000</v>
      </c>
    </row>
    <row r="230" spans="4:5" x14ac:dyDescent="0.25">
      <c r="D230" t="s">
        <v>209</v>
      </c>
      <c r="E230" s="6">
        <v>20000</v>
      </c>
    </row>
    <row r="231" spans="4:5" x14ac:dyDescent="0.25">
      <c r="D231" t="s">
        <v>109</v>
      </c>
      <c r="E231" s="6">
        <v>20000</v>
      </c>
    </row>
    <row r="232" spans="4:5" x14ac:dyDescent="0.25">
      <c r="D232" s="5" t="s">
        <v>441</v>
      </c>
      <c r="E232" s="6">
        <v>20000</v>
      </c>
    </row>
    <row r="233" spans="4:5" x14ac:dyDescent="0.25">
      <c r="D233" t="s">
        <v>195</v>
      </c>
      <c r="E233" s="6">
        <v>20000</v>
      </c>
    </row>
    <row r="234" spans="4:5" x14ac:dyDescent="0.25">
      <c r="D234" s="5" t="s">
        <v>358</v>
      </c>
      <c r="E234" s="6">
        <v>20000</v>
      </c>
    </row>
    <row r="235" spans="4:5" x14ac:dyDescent="0.25">
      <c r="D235" s="5" t="s">
        <v>359</v>
      </c>
      <c r="E235" s="6">
        <v>20000</v>
      </c>
    </row>
    <row r="236" spans="4:5" x14ac:dyDescent="0.25">
      <c r="D236" s="5" t="s">
        <v>360</v>
      </c>
      <c r="E236" s="6">
        <v>20000</v>
      </c>
    </row>
    <row r="237" spans="4:5" x14ac:dyDescent="0.25">
      <c r="D237" s="5" t="s">
        <v>361</v>
      </c>
      <c r="E237" s="6">
        <v>20000</v>
      </c>
    </row>
    <row r="238" spans="4:5" x14ac:dyDescent="0.25">
      <c r="D238" s="5" t="s">
        <v>362</v>
      </c>
      <c r="E238" s="6">
        <v>20000</v>
      </c>
    </row>
    <row r="239" spans="4:5" x14ac:dyDescent="0.25">
      <c r="D239" s="5" t="s">
        <v>264</v>
      </c>
      <c r="E239" s="6">
        <v>20000</v>
      </c>
    </row>
    <row r="240" spans="4:5" x14ac:dyDescent="0.25">
      <c r="D240" t="s">
        <v>29</v>
      </c>
      <c r="E240" s="6">
        <v>20000</v>
      </c>
    </row>
    <row r="241" spans="4:5" x14ac:dyDescent="0.25">
      <c r="D241" s="5" t="s">
        <v>365</v>
      </c>
      <c r="E241" s="6">
        <v>20000</v>
      </c>
    </row>
    <row r="242" spans="4:5" x14ac:dyDescent="0.25">
      <c r="D242" s="5" t="s">
        <v>442</v>
      </c>
      <c r="E242" s="6">
        <v>20000</v>
      </c>
    </row>
    <row r="243" spans="4:5" x14ac:dyDescent="0.25">
      <c r="D243" s="5" t="s">
        <v>404</v>
      </c>
      <c r="E243" s="6">
        <v>20000</v>
      </c>
    </row>
    <row r="244" spans="4:5" x14ac:dyDescent="0.25">
      <c r="D244" s="5" t="s">
        <v>368</v>
      </c>
      <c r="E244" s="6">
        <v>20000</v>
      </c>
    </row>
    <row r="245" spans="4:5" x14ac:dyDescent="0.25">
      <c r="D245" s="5" t="s">
        <v>305</v>
      </c>
      <c r="E245" s="6">
        <v>20000</v>
      </c>
    </row>
    <row r="246" spans="4:5" x14ac:dyDescent="0.25">
      <c r="D246" s="5" t="s">
        <v>443</v>
      </c>
      <c r="E246" s="6">
        <v>20000</v>
      </c>
    </row>
    <row r="247" spans="4:5" x14ac:dyDescent="0.25">
      <c r="D247" t="s">
        <v>157</v>
      </c>
      <c r="E247" s="6">
        <v>20000</v>
      </c>
    </row>
    <row r="248" spans="4:5" x14ac:dyDescent="0.25">
      <c r="D248" s="5" t="s">
        <v>306</v>
      </c>
      <c r="E248" s="6">
        <v>20000</v>
      </c>
    </row>
    <row r="249" spans="4:5" x14ac:dyDescent="0.25">
      <c r="D249" t="s">
        <v>30</v>
      </c>
      <c r="E249" s="6">
        <v>20000</v>
      </c>
    </row>
    <row r="250" spans="4:5" x14ac:dyDescent="0.25">
      <c r="D250" s="5" t="s">
        <v>30</v>
      </c>
      <c r="E250" s="6">
        <v>20000</v>
      </c>
    </row>
    <row r="251" spans="4:5" x14ac:dyDescent="0.25">
      <c r="D251" t="s">
        <v>222</v>
      </c>
      <c r="E251" s="6">
        <v>20000</v>
      </c>
    </row>
    <row r="252" spans="4:5" x14ac:dyDescent="0.25">
      <c r="D252" s="5" t="s">
        <v>370</v>
      </c>
      <c r="E252" s="6">
        <v>20000</v>
      </c>
    </row>
    <row r="253" spans="4:5" x14ac:dyDescent="0.25">
      <c r="D253" t="s">
        <v>219</v>
      </c>
      <c r="E253" s="6">
        <v>20000</v>
      </c>
    </row>
    <row r="254" spans="4:5" x14ac:dyDescent="0.25">
      <c r="D254" s="5" t="s">
        <v>265</v>
      </c>
      <c r="E254" s="6">
        <v>100000</v>
      </c>
    </row>
    <row r="255" spans="4:5" x14ac:dyDescent="0.25">
      <c r="D255" s="5" t="s">
        <v>265</v>
      </c>
      <c r="E255" s="6">
        <v>100000</v>
      </c>
    </row>
    <row r="256" spans="4:5" x14ac:dyDescent="0.25">
      <c r="D256" t="s">
        <v>225</v>
      </c>
      <c r="E256" s="6">
        <v>100000</v>
      </c>
    </row>
    <row r="257" spans="4:5" x14ac:dyDescent="0.25">
      <c r="D257" s="5" t="s">
        <v>444</v>
      </c>
      <c r="E257" s="6">
        <v>100000</v>
      </c>
    </row>
    <row r="258" spans="4:5" x14ac:dyDescent="0.25">
      <c r="D258" s="5" t="s">
        <v>445</v>
      </c>
      <c r="E258" s="6">
        <v>100000</v>
      </c>
    </row>
    <row r="259" spans="4:5" x14ac:dyDescent="0.25">
      <c r="D259" t="s">
        <v>160</v>
      </c>
      <c r="E259" s="6">
        <v>100000</v>
      </c>
    </row>
    <row r="260" spans="4:5" x14ac:dyDescent="0.25">
      <c r="D260" t="s">
        <v>212</v>
      </c>
      <c r="E260" s="6">
        <v>100000</v>
      </c>
    </row>
    <row r="261" spans="4:5" x14ac:dyDescent="0.25">
      <c r="D261" s="5" t="s">
        <v>446</v>
      </c>
      <c r="E261" s="6">
        <v>100000</v>
      </c>
    </row>
    <row r="262" spans="4:5" x14ac:dyDescent="0.25">
      <c r="D262" s="5" t="s">
        <v>447</v>
      </c>
      <c r="E262" s="6">
        <v>100000</v>
      </c>
    </row>
    <row r="263" spans="4:5" x14ac:dyDescent="0.25">
      <c r="D263" t="s">
        <v>198</v>
      </c>
      <c r="E263" s="6">
        <v>100000</v>
      </c>
    </row>
    <row r="264" spans="4:5" x14ac:dyDescent="0.25">
      <c r="D264" t="s">
        <v>192</v>
      </c>
      <c r="E264" s="6">
        <v>100000</v>
      </c>
    </row>
    <row r="265" spans="4:5" x14ac:dyDescent="0.25">
      <c r="D265" t="s">
        <v>110</v>
      </c>
      <c r="E265" s="6">
        <v>100000</v>
      </c>
    </row>
    <row r="266" spans="4:5" x14ac:dyDescent="0.25">
      <c r="D266" s="5" t="s">
        <v>372</v>
      </c>
      <c r="E266" s="6">
        <v>100000</v>
      </c>
    </row>
    <row r="267" spans="4:5" x14ac:dyDescent="0.25">
      <c r="D267" s="5" t="s">
        <v>146</v>
      </c>
      <c r="E267" s="6">
        <v>100000</v>
      </c>
    </row>
    <row r="268" spans="4:5" x14ac:dyDescent="0.25">
      <c r="D268" s="5" t="s">
        <v>450</v>
      </c>
      <c r="E268" s="6">
        <v>100000</v>
      </c>
    </row>
    <row r="269" spans="4:5" x14ac:dyDescent="0.25">
      <c r="D269" s="5" t="s">
        <v>373</v>
      </c>
      <c r="E269" s="6">
        <v>100000</v>
      </c>
    </row>
    <row r="270" spans="4:5" x14ac:dyDescent="0.25">
      <c r="D270" t="s">
        <v>163</v>
      </c>
      <c r="E270" s="6">
        <v>100000</v>
      </c>
    </row>
    <row r="271" spans="4:5" x14ac:dyDescent="0.25">
      <c r="D271" s="5" t="s">
        <v>163</v>
      </c>
      <c r="E271" s="6">
        <v>100000</v>
      </c>
    </row>
    <row r="272" spans="4:5" x14ac:dyDescent="0.25">
      <c r="D272" s="5" t="s">
        <v>397</v>
      </c>
      <c r="E272" s="6">
        <v>100000</v>
      </c>
    </row>
    <row r="273" spans="4:5" x14ac:dyDescent="0.25">
      <c r="D273" t="s">
        <v>31</v>
      </c>
      <c r="E273" s="6">
        <v>100000</v>
      </c>
    </row>
    <row r="274" spans="4:5" x14ac:dyDescent="0.25">
      <c r="D274" t="s">
        <v>111</v>
      </c>
      <c r="E274" s="6">
        <v>100000</v>
      </c>
    </row>
    <row r="275" spans="4:5" x14ac:dyDescent="0.25">
      <c r="D275" t="s">
        <v>166</v>
      </c>
      <c r="E275" s="6">
        <v>100000</v>
      </c>
    </row>
    <row r="276" spans="4:5" x14ac:dyDescent="0.25">
      <c r="D276" t="s">
        <v>168</v>
      </c>
      <c r="E276" s="6">
        <v>100000</v>
      </c>
    </row>
    <row r="277" spans="4:5" x14ac:dyDescent="0.25">
      <c r="D277" s="5" t="s">
        <v>273</v>
      </c>
      <c r="E277" s="6">
        <v>100000</v>
      </c>
    </row>
    <row r="278" spans="4:5" x14ac:dyDescent="0.25">
      <c r="D278" t="s">
        <v>181</v>
      </c>
      <c r="E278" s="6">
        <v>100000</v>
      </c>
    </row>
    <row r="279" spans="4:5" x14ac:dyDescent="0.25">
      <c r="D279" t="s">
        <v>170</v>
      </c>
      <c r="E279" s="6">
        <v>100000</v>
      </c>
    </row>
    <row r="280" spans="4:5" x14ac:dyDescent="0.25">
      <c r="D280" s="5" t="s">
        <v>170</v>
      </c>
      <c r="E280" s="6">
        <v>100000</v>
      </c>
    </row>
    <row r="281" spans="4:5" x14ac:dyDescent="0.25">
      <c r="D281" s="5" t="s">
        <v>405</v>
      </c>
      <c r="E281" s="6">
        <v>200000</v>
      </c>
    </row>
    <row r="282" spans="4:5" x14ac:dyDescent="0.25">
      <c r="D282" s="5" t="s">
        <v>375</v>
      </c>
      <c r="E282" s="6">
        <v>200000</v>
      </c>
    </row>
    <row r="283" spans="4:5" x14ac:dyDescent="0.25">
      <c r="D283" s="5" t="s">
        <v>308</v>
      </c>
      <c r="E283" s="6">
        <v>200000</v>
      </c>
    </row>
    <row r="284" spans="4:5" x14ac:dyDescent="0.25">
      <c r="D284" s="5" t="s">
        <v>378</v>
      </c>
      <c r="E284" s="6">
        <v>200000</v>
      </c>
    </row>
    <row r="285" spans="4:5" x14ac:dyDescent="0.25">
      <c r="D285" s="5" t="s">
        <v>307</v>
      </c>
      <c r="E285" s="6">
        <v>200000</v>
      </c>
    </row>
    <row r="286" spans="4:5" x14ac:dyDescent="0.25">
      <c r="D286" t="s">
        <v>149</v>
      </c>
      <c r="E286" s="6">
        <v>200000</v>
      </c>
    </row>
    <row r="287" spans="4:5" x14ac:dyDescent="0.25">
      <c r="D287" s="5" t="s">
        <v>376</v>
      </c>
      <c r="E287" s="6">
        <v>200000</v>
      </c>
    </row>
    <row r="288" spans="4:5" x14ac:dyDescent="0.25">
      <c r="D288" s="5" t="s">
        <v>406</v>
      </c>
      <c r="E288" s="6">
        <v>200000</v>
      </c>
    </row>
    <row r="289" spans="4:5" x14ac:dyDescent="0.25">
      <c r="D289" s="5" t="s">
        <v>377</v>
      </c>
      <c r="E289" s="6">
        <v>200000</v>
      </c>
    </row>
    <row r="290" spans="4:5" x14ac:dyDescent="0.25">
      <c r="D290" t="s">
        <v>112</v>
      </c>
      <c r="E290" s="6">
        <v>200000</v>
      </c>
    </row>
    <row r="291" spans="4:5" x14ac:dyDescent="0.25">
      <c r="D291" s="5" t="s">
        <v>112</v>
      </c>
      <c r="E291" s="6">
        <v>200000</v>
      </c>
    </row>
    <row r="292" spans="4:5" x14ac:dyDescent="0.25">
      <c r="D292" t="s">
        <v>113</v>
      </c>
      <c r="E292" s="6">
        <v>200000</v>
      </c>
    </row>
    <row r="293" spans="4:5" x14ac:dyDescent="0.25">
      <c r="D293" t="s">
        <v>201</v>
      </c>
      <c r="E293" s="6">
        <v>200000</v>
      </c>
    </row>
    <row r="294" spans="4:5" x14ac:dyDescent="0.25">
      <c r="D294" t="s">
        <v>32</v>
      </c>
      <c r="E294" s="6">
        <v>200000</v>
      </c>
    </row>
    <row r="295" spans="4:5" x14ac:dyDescent="0.25">
      <c r="D295" s="5" t="s">
        <v>32</v>
      </c>
      <c r="E295" s="6">
        <v>200000</v>
      </c>
    </row>
    <row r="296" spans="4:5" x14ac:dyDescent="0.25">
      <c r="D296" t="s">
        <v>184</v>
      </c>
      <c r="E296" s="6">
        <v>200000</v>
      </c>
    </row>
    <row r="297" spans="4:5" x14ac:dyDescent="0.25">
      <c r="D297" t="s">
        <v>114</v>
      </c>
      <c r="E297" s="6">
        <v>200000</v>
      </c>
    </row>
    <row r="298" spans="4:5" x14ac:dyDescent="0.25">
      <c r="D298" t="s">
        <v>187</v>
      </c>
      <c r="E298" s="6">
        <v>200000</v>
      </c>
    </row>
    <row r="299" spans="4:5" x14ac:dyDescent="0.25">
      <c r="D299" t="s">
        <v>187</v>
      </c>
      <c r="E299" s="6">
        <v>200000</v>
      </c>
    </row>
    <row r="300" spans="4:5" x14ac:dyDescent="0.25">
      <c r="D300" s="5" t="s">
        <v>309</v>
      </c>
      <c r="E300" s="6">
        <v>200000</v>
      </c>
    </row>
    <row r="301" spans="4:5" x14ac:dyDescent="0.25">
      <c r="D301" t="s">
        <v>152</v>
      </c>
      <c r="E301" s="6">
        <v>200000</v>
      </c>
    </row>
    <row r="302" spans="4:5" x14ac:dyDescent="0.25">
      <c r="D302" s="5" t="s">
        <v>152</v>
      </c>
      <c r="E302" s="6">
        <v>200000</v>
      </c>
    </row>
    <row r="303" spans="4:5" x14ac:dyDescent="0.25">
      <c r="D303" t="s">
        <v>155</v>
      </c>
      <c r="E303" s="6">
        <v>200000</v>
      </c>
    </row>
    <row r="304" spans="4:5" x14ac:dyDescent="0.25">
      <c r="D304" t="s">
        <v>204</v>
      </c>
      <c r="E304" s="6">
        <v>200000</v>
      </c>
    </row>
    <row r="305" spans="4:5" x14ac:dyDescent="0.25">
      <c r="D305" s="5" t="s">
        <v>410</v>
      </c>
      <c r="E305" s="6">
        <v>200000</v>
      </c>
    </row>
    <row r="306" spans="4:5" x14ac:dyDescent="0.25">
      <c r="D306" t="s">
        <v>207</v>
      </c>
      <c r="E306" s="6">
        <v>200000</v>
      </c>
    </row>
    <row r="307" spans="4:5" x14ac:dyDescent="0.25">
      <c r="D307" t="s">
        <v>115</v>
      </c>
      <c r="E307" s="6">
        <v>200000</v>
      </c>
    </row>
    <row r="308" spans="4:5" x14ac:dyDescent="0.25">
      <c r="D308" t="s">
        <v>158</v>
      </c>
      <c r="E308" s="6">
        <v>200000</v>
      </c>
    </row>
    <row r="309" spans="4:5" x14ac:dyDescent="0.25">
      <c r="D309" t="s">
        <v>215</v>
      </c>
      <c r="E309" s="6">
        <v>200000</v>
      </c>
    </row>
    <row r="310" spans="4:5" x14ac:dyDescent="0.25">
      <c r="D310" t="s">
        <v>33</v>
      </c>
      <c r="E310" s="6">
        <v>200000</v>
      </c>
    </row>
    <row r="311" spans="4:5" x14ac:dyDescent="0.25">
      <c r="D311" s="5" t="s">
        <v>310</v>
      </c>
      <c r="E311" s="6">
        <v>200000</v>
      </c>
    </row>
    <row r="312" spans="4:5" x14ac:dyDescent="0.25">
      <c r="D312" t="s">
        <v>161</v>
      </c>
      <c r="E312" s="6">
        <v>200000</v>
      </c>
    </row>
    <row r="313" spans="4:5" x14ac:dyDescent="0.25">
      <c r="D313" t="s">
        <v>228</v>
      </c>
      <c r="E313" s="6">
        <v>200000</v>
      </c>
    </row>
    <row r="314" spans="4:5" x14ac:dyDescent="0.25">
      <c r="D314" s="5" t="s">
        <v>379</v>
      </c>
      <c r="E314" s="6">
        <v>200000</v>
      </c>
    </row>
    <row r="315" spans="4:5" x14ac:dyDescent="0.25">
      <c r="D315" t="s">
        <v>164</v>
      </c>
      <c r="E315" s="6">
        <v>200000</v>
      </c>
    </row>
    <row r="316" spans="4:5" x14ac:dyDescent="0.25">
      <c r="D316" t="s">
        <v>103</v>
      </c>
      <c r="E316" s="6">
        <v>200000</v>
      </c>
    </row>
    <row r="317" spans="4:5" x14ac:dyDescent="0.25">
      <c r="D317" t="s">
        <v>190</v>
      </c>
      <c r="E317" s="6">
        <v>200000</v>
      </c>
    </row>
    <row r="318" spans="4:5" x14ac:dyDescent="0.25">
      <c r="D318" t="s">
        <v>190</v>
      </c>
      <c r="E318" s="6">
        <v>200000</v>
      </c>
    </row>
    <row r="319" spans="4:5" x14ac:dyDescent="0.25">
      <c r="D319" s="5" t="s">
        <v>385</v>
      </c>
      <c r="E319" s="6">
        <v>200000</v>
      </c>
    </row>
    <row r="320" spans="4:5" x14ac:dyDescent="0.25">
      <c r="D320" s="5" t="s">
        <v>311</v>
      </c>
      <c r="E320" s="6">
        <v>200000</v>
      </c>
    </row>
    <row r="321" spans="4:5" x14ac:dyDescent="0.25">
      <c r="D321" s="5" t="s">
        <v>386</v>
      </c>
      <c r="E321" s="6">
        <v>200000</v>
      </c>
    </row>
    <row r="322" spans="4:5" x14ac:dyDescent="0.25">
      <c r="D322" s="5" t="s">
        <v>312</v>
      </c>
      <c r="E322" s="6">
        <v>200000</v>
      </c>
    </row>
    <row r="323" spans="4:5" x14ac:dyDescent="0.25">
      <c r="D323" t="s">
        <v>116</v>
      </c>
      <c r="E323" s="6">
        <v>200000</v>
      </c>
    </row>
    <row r="324" spans="4:5" x14ac:dyDescent="0.25">
      <c r="D324" s="5" t="s">
        <v>452</v>
      </c>
      <c r="E324" s="6">
        <v>200000</v>
      </c>
    </row>
    <row r="325" spans="4:5" x14ac:dyDescent="0.25">
      <c r="D325" s="5" t="s">
        <v>453</v>
      </c>
      <c r="E325" s="6">
        <v>200000</v>
      </c>
    </row>
  </sheetData>
  <sheetProtection algorithmName="SHA-512" hashValue="au1atRKT/NDFZYi527y5RdB6CCyI8411ijPjo4CpRdu/9LOxyc2efy/QgZon8XYiJ9uAG/kYZp+L6kjhdBKrEQ==" saltValue="uaNAaRsxhko+Ac2+mg1u1A==" spinCount="100000" sheet="1" objects="1" scenarios="1" selectLockedCells="1" selectUnlockedCells="1"/>
  <dataValidations count="2">
    <dataValidation type="list" allowBlank="1" showInputMessage="1" showErrorMessage="1" sqref="J10" xr:uid="{00000000-0002-0000-0200-000000000000}">
      <formula1>$J$5:$J$7</formula1>
    </dataValidation>
    <dataValidation type="list" allowBlank="1" showInputMessage="1" showErrorMessage="1" sqref="K10" xr:uid="{00000000-0002-0000-0200-000001000000}">
      <formula1>INDIRECT($J$10)</formula1>
    </dataValidation>
  </dataValidations>
  <pageMargins left="0.7" right="0.7" top="0.75" bottom="0.75" header="0.3" footer="0.3"/>
  <pageSetup scale="60" orientation="portrait" r:id="rId1"/>
  <colBreaks count="1" manualBreakCount="1">
    <brk id="12" max="1048575" man="1"/>
  </colBreaks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2:V111"/>
  <sheetViews>
    <sheetView workbookViewId="0">
      <selection activeCell="A3" sqref="A3:B17"/>
    </sheetView>
  </sheetViews>
  <sheetFormatPr baseColWidth="10" defaultRowHeight="15" x14ac:dyDescent="0.25"/>
  <cols>
    <col min="1" max="1" width="20.25" customWidth="1"/>
    <col min="10" max="10" width="14.5" customWidth="1"/>
  </cols>
  <sheetData>
    <row r="2" spans="1:11" ht="18.75" x14ac:dyDescent="0.3">
      <c r="C2" s="1" t="s">
        <v>15</v>
      </c>
    </row>
    <row r="3" spans="1:11" x14ac:dyDescent="0.25">
      <c r="A3" t="s">
        <v>0</v>
      </c>
      <c r="B3">
        <v>1</v>
      </c>
      <c r="D3" t="s">
        <v>99</v>
      </c>
      <c r="E3">
        <v>10</v>
      </c>
      <c r="G3" t="s">
        <v>144</v>
      </c>
      <c r="H3">
        <v>100</v>
      </c>
      <c r="J3" t="s">
        <v>178</v>
      </c>
      <c r="K3">
        <v>1000</v>
      </c>
    </row>
    <row r="4" spans="1:11" x14ac:dyDescent="0.25">
      <c r="A4" t="s">
        <v>1</v>
      </c>
      <c r="B4">
        <v>1</v>
      </c>
      <c r="D4" t="s">
        <v>100</v>
      </c>
      <c r="E4">
        <v>10</v>
      </c>
      <c r="G4" t="s">
        <v>145</v>
      </c>
      <c r="H4">
        <v>100</v>
      </c>
    </row>
    <row r="5" spans="1:11" x14ac:dyDescent="0.25">
      <c r="A5" t="s">
        <v>2</v>
      </c>
      <c r="B5">
        <v>1</v>
      </c>
      <c r="D5" t="s">
        <v>101</v>
      </c>
      <c r="E5">
        <v>10</v>
      </c>
      <c r="G5" t="s">
        <v>146</v>
      </c>
      <c r="H5">
        <v>100</v>
      </c>
    </row>
    <row r="6" spans="1:11" x14ac:dyDescent="0.25">
      <c r="A6" t="s">
        <v>3</v>
      </c>
      <c r="B6">
        <v>1</v>
      </c>
      <c r="D6" t="s">
        <v>102</v>
      </c>
      <c r="E6">
        <v>10</v>
      </c>
    </row>
    <row r="7" spans="1:11" x14ac:dyDescent="0.25">
      <c r="A7" t="s">
        <v>4</v>
      </c>
      <c r="B7">
        <v>1</v>
      </c>
      <c r="D7" t="s">
        <v>103</v>
      </c>
      <c r="E7">
        <v>10</v>
      </c>
    </row>
    <row r="8" spans="1:11" x14ac:dyDescent="0.25">
      <c r="A8" t="s">
        <v>5</v>
      </c>
      <c r="B8">
        <v>1</v>
      </c>
    </row>
    <row r="9" spans="1:11" x14ac:dyDescent="0.25">
      <c r="A9" t="s">
        <v>6</v>
      </c>
      <c r="B9">
        <v>1</v>
      </c>
    </row>
    <row r="10" spans="1:11" x14ac:dyDescent="0.25">
      <c r="A10" t="s">
        <v>7</v>
      </c>
      <c r="B10">
        <v>1</v>
      </c>
    </row>
    <row r="11" spans="1:11" x14ac:dyDescent="0.25">
      <c r="A11" t="s">
        <v>8</v>
      </c>
      <c r="B11">
        <v>1</v>
      </c>
    </row>
    <row r="12" spans="1:11" x14ac:dyDescent="0.25">
      <c r="A12" t="s">
        <v>9</v>
      </c>
      <c r="B12">
        <v>1</v>
      </c>
    </row>
    <row r="13" spans="1:11" x14ac:dyDescent="0.25">
      <c r="A13" t="s">
        <v>10</v>
      </c>
      <c r="B13">
        <v>1</v>
      </c>
    </row>
    <row r="14" spans="1:11" x14ac:dyDescent="0.25">
      <c r="A14" t="s">
        <v>11</v>
      </c>
      <c r="B14">
        <v>1</v>
      </c>
    </row>
    <row r="15" spans="1:11" x14ac:dyDescent="0.25">
      <c r="A15" t="s">
        <v>12</v>
      </c>
      <c r="B15">
        <v>1</v>
      </c>
    </row>
    <row r="16" spans="1:11" x14ac:dyDescent="0.25">
      <c r="A16" t="s">
        <v>13</v>
      </c>
      <c r="B16">
        <v>1</v>
      </c>
    </row>
    <row r="17" spans="1:22" x14ac:dyDescent="0.25">
      <c r="A17" t="s">
        <v>14</v>
      </c>
      <c r="B17">
        <v>1</v>
      </c>
    </row>
    <row r="21" spans="1:22" ht="18.75" x14ac:dyDescent="0.3">
      <c r="C21" s="1" t="s">
        <v>97</v>
      </c>
    </row>
    <row r="22" spans="1:22" x14ac:dyDescent="0.25">
      <c r="A22" t="s">
        <v>16</v>
      </c>
      <c r="B22">
        <v>1</v>
      </c>
      <c r="D22" t="s">
        <v>104</v>
      </c>
      <c r="E22">
        <v>10</v>
      </c>
      <c r="G22" t="s">
        <v>147</v>
      </c>
      <c r="H22">
        <v>100</v>
      </c>
      <c r="J22" t="s">
        <v>179</v>
      </c>
      <c r="K22">
        <v>1000</v>
      </c>
      <c r="M22" t="s">
        <v>193</v>
      </c>
      <c r="O22">
        <v>10000</v>
      </c>
      <c r="Q22" t="s">
        <v>210</v>
      </c>
      <c r="S22">
        <v>100000</v>
      </c>
      <c r="U22" t="s">
        <v>220</v>
      </c>
      <c r="V22">
        <v>1000000</v>
      </c>
    </row>
    <row r="23" spans="1:22" x14ac:dyDescent="0.25">
      <c r="A23" t="s">
        <v>17</v>
      </c>
      <c r="B23">
        <v>1</v>
      </c>
      <c r="D23" t="s">
        <v>105</v>
      </c>
      <c r="E23">
        <v>10</v>
      </c>
      <c r="G23" t="s">
        <v>150</v>
      </c>
      <c r="H23">
        <v>100</v>
      </c>
      <c r="J23" t="s">
        <v>182</v>
      </c>
      <c r="K23">
        <v>1000</v>
      </c>
      <c r="M23" t="s">
        <v>196</v>
      </c>
      <c r="O23">
        <v>10000</v>
      </c>
      <c r="Q23" t="s">
        <v>213</v>
      </c>
      <c r="S23">
        <v>100000</v>
      </c>
      <c r="U23" t="s">
        <v>223</v>
      </c>
      <c r="V23">
        <v>1000000</v>
      </c>
    </row>
    <row r="24" spans="1:22" x14ac:dyDescent="0.25">
      <c r="A24" t="s">
        <v>18</v>
      </c>
      <c r="B24">
        <v>1</v>
      </c>
      <c r="D24" t="s">
        <v>106</v>
      </c>
      <c r="E24">
        <v>10</v>
      </c>
      <c r="G24" t="s">
        <v>153</v>
      </c>
      <c r="H24">
        <v>100</v>
      </c>
      <c r="J24" t="s">
        <v>185</v>
      </c>
      <c r="K24">
        <v>1000</v>
      </c>
      <c r="M24" t="s">
        <v>199</v>
      </c>
      <c r="O24">
        <v>10000</v>
      </c>
      <c r="Q24" t="s">
        <v>216</v>
      </c>
      <c r="S24">
        <v>100000</v>
      </c>
      <c r="U24" t="s">
        <v>226</v>
      </c>
      <c r="V24">
        <v>1000000</v>
      </c>
    </row>
    <row r="25" spans="1:22" x14ac:dyDescent="0.25">
      <c r="A25" t="s">
        <v>19</v>
      </c>
      <c r="B25">
        <v>1</v>
      </c>
      <c r="D25" t="s">
        <v>107</v>
      </c>
      <c r="E25">
        <v>10</v>
      </c>
      <c r="G25" t="s">
        <v>156</v>
      </c>
      <c r="H25">
        <v>100</v>
      </c>
      <c r="J25" t="s">
        <v>188</v>
      </c>
      <c r="K25">
        <v>1000</v>
      </c>
      <c r="M25" t="s">
        <v>202</v>
      </c>
      <c r="O25">
        <v>10000</v>
      </c>
      <c r="Q25" t="s">
        <v>218</v>
      </c>
      <c r="S25">
        <v>100000</v>
      </c>
      <c r="U25" t="s">
        <v>229</v>
      </c>
      <c r="V25">
        <v>1000000</v>
      </c>
    </row>
    <row r="26" spans="1:22" x14ac:dyDescent="0.25">
      <c r="A26" t="s">
        <v>20</v>
      </c>
      <c r="B26">
        <v>1</v>
      </c>
      <c r="D26" t="s">
        <v>108</v>
      </c>
      <c r="E26">
        <v>10</v>
      </c>
      <c r="G26" t="s">
        <v>159</v>
      </c>
      <c r="H26">
        <v>100</v>
      </c>
      <c r="J26" t="s">
        <v>191</v>
      </c>
      <c r="K26">
        <v>1000</v>
      </c>
      <c r="M26" t="s">
        <v>205</v>
      </c>
      <c r="O26">
        <v>10000</v>
      </c>
      <c r="Q26" t="s">
        <v>211</v>
      </c>
      <c r="S26">
        <v>100000</v>
      </c>
      <c r="U26" t="s">
        <v>221</v>
      </c>
      <c r="V26">
        <v>1000000</v>
      </c>
    </row>
    <row r="27" spans="1:22" x14ac:dyDescent="0.25">
      <c r="A27" t="s">
        <v>21</v>
      </c>
      <c r="B27">
        <v>1</v>
      </c>
      <c r="D27" t="s">
        <v>109</v>
      </c>
      <c r="E27">
        <v>10</v>
      </c>
      <c r="G27" t="s">
        <v>162</v>
      </c>
      <c r="H27">
        <v>100</v>
      </c>
      <c r="J27" t="s">
        <v>180</v>
      </c>
      <c r="K27">
        <v>1000</v>
      </c>
      <c r="M27" t="s">
        <v>208</v>
      </c>
      <c r="O27">
        <v>10000</v>
      </c>
      <c r="Q27" t="s">
        <v>214</v>
      </c>
      <c r="S27">
        <v>100000</v>
      </c>
      <c r="U27" t="s">
        <v>224</v>
      </c>
      <c r="V27">
        <v>1000000</v>
      </c>
    </row>
    <row r="28" spans="1:22" x14ac:dyDescent="0.25">
      <c r="A28" t="s">
        <v>22</v>
      </c>
      <c r="B28">
        <v>1</v>
      </c>
      <c r="D28" t="s">
        <v>110</v>
      </c>
      <c r="E28">
        <v>10</v>
      </c>
      <c r="G28" t="s">
        <v>165</v>
      </c>
      <c r="H28">
        <v>100</v>
      </c>
      <c r="J28" t="s">
        <v>183</v>
      </c>
      <c r="K28">
        <v>1000</v>
      </c>
      <c r="M28" t="s">
        <v>194</v>
      </c>
      <c r="O28">
        <v>10000</v>
      </c>
      <c r="Q28" t="s">
        <v>217</v>
      </c>
      <c r="S28">
        <v>100000</v>
      </c>
      <c r="U28" t="s">
        <v>227</v>
      </c>
      <c r="V28">
        <v>1000000</v>
      </c>
    </row>
    <row r="29" spans="1:22" x14ac:dyDescent="0.25">
      <c r="A29" t="s">
        <v>23</v>
      </c>
      <c r="B29">
        <v>1</v>
      </c>
      <c r="D29" t="s">
        <v>111</v>
      </c>
      <c r="E29">
        <v>10</v>
      </c>
      <c r="G29" t="s">
        <v>167</v>
      </c>
      <c r="H29">
        <v>100</v>
      </c>
      <c r="J29" t="s">
        <v>186</v>
      </c>
      <c r="K29">
        <v>1000</v>
      </c>
      <c r="M29" t="s">
        <v>197</v>
      </c>
      <c r="O29">
        <v>10000</v>
      </c>
      <c r="Q29" t="s">
        <v>219</v>
      </c>
      <c r="S29">
        <v>100000</v>
      </c>
      <c r="U29" t="s">
        <v>230</v>
      </c>
      <c r="V29">
        <v>1000000</v>
      </c>
    </row>
    <row r="30" spans="1:22" x14ac:dyDescent="0.25">
      <c r="A30" t="s">
        <v>24</v>
      </c>
      <c r="B30">
        <v>1</v>
      </c>
      <c r="D30" t="s">
        <v>112</v>
      </c>
      <c r="E30">
        <v>10</v>
      </c>
      <c r="G30" t="s">
        <v>169</v>
      </c>
      <c r="H30">
        <v>100</v>
      </c>
      <c r="J30" t="s">
        <v>189</v>
      </c>
      <c r="K30">
        <v>1000</v>
      </c>
      <c r="M30" t="s">
        <v>200</v>
      </c>
      <c r="O30">
        <v>10000</v>
      </c>
      <c r="Q30" t="s">
        <v>212</v>
      </c>
      <c r="S30">
        <v>100000</v>
      </c>
      <c r="U30" t="s">
        <v>222</v>
      </c>
      <c r="V30">
        <v>1000000</v>
      </c>
    </row>
    <row r="31" spans="1:22" x14ac:dyDescent="0.25">
      <c r="A31" t="s">
        <v>25</v>
      </c>
      <c r="B31">
        <v>1</v>
      </c>
      <c r="D31" t="s">
        <v>113</v>
      </c>
      <c r="E31">
        <v>10</v>
      </c>
      <c r="G31" t="s">
        <v>148</v>
      </c>
      <c r="H31">
        <v>100</v>
      </c>
      <c r="J31" t="s">
        <v>192</v>
      </c>
      <c r="K31">
        <v>1000</v>
      </c>
      <c r="M31" t="s">
        <v>203</v>
      </c>
      <c r="O31">
        <v>10000</v>
      </c>
      <c r="Q31" t="s">
        <v>215</v>
      </c>
      <c r="S31">
        <v>100000</v>
      </c>
      <c r="U31" t="s">
        <v>225</v>
      </c>
      <c r="V31">
        <v>1000000</v>
      </c>
    </row>
    <row r="32" spans="1:22" x14ac:dyDescent="0.25">
      <c r="A32" t="s">
        <v>26</v>
      </c>
      <c r="B32">
        <v>1</v>
      </c>
      <c r="D32" t="s">
        <v>114</v>
      </c>
      <c r="E32">
        <v>10</v>
      </c>
      <c r="G32" t="s">
        <v>151</v>
      </c>
      <c r="H32">
        <v>100</v>
      </c>
      <c r="J32" t="s">
        <v>187</v>
      </c>
      <c r="K32">
        <v>1000</v>
      </c>
      <c r="M32" t="s">
        <v>206</v>
      </c>
      <c r="O32">
        <v>10000</v>
      </c>
      <c r="U32" t="s">
        <v>228</v>
      </c>
      <c r="V32">
        <v>1000000</v>
      </c>
    </row>
    <row r="33" spans="1:15" x14ac:dyDescent="0.25">
      <c r="A33" t="s">
        <v>27</v>
      </c>
      <c r="B33">
        <v>1</v>
      </c>
      <c r="D33" t="s">
        <v>115</v>
      </c>
      <c r="E33">
        <v>10</v>
      </c>
      <c r="G33" t="s">
        <v>154</v>
      </c>
      <c r="H33">
        <v>100</v>
      </c>
      <c r="J33" t="s">
        <v>190</v>
      </c>
      <c r="K33">
        <v>1000</v>
      </c>
      <c r="M33" t="s">
        <v>209</v>
      </c>
      <c r="O33">
        <v>10000</v>
      </c>
    </row>
    <row r="34" spans="1:15" x14ac:dyDescent="0.25">
      <c r="A34" t="s">
        <v>28</v>
      </c>
      <c r="B34">
        <v>1</v>
      </c>
      <c r="D34" t="s">
        <v>116</v>
      </c>
      <c r="E34">
        <v>10</v>
      </c>
      <c r="G34" t="s">
        <v>157</v>
      </c>
      <c r="H34">
        <v>100</v>
      </c>
      <c r="J34" t="s">
        <v>181</v>
      </c>
      <c r="K34">
        <v>1000</v>
      </c>
      <c r="M34" t="s">
        <v>195</v>
      </c>
      <c r="O34">
        <v>10000</v>
      </c>
    </row>
    <row r="35" spans="1:15" x14ac:dyDescent="0.25">
      <c r="A35" t="s">
        <v>29</v>
      </c>
      <c r="B35">
        <v>1</v>
      </c>
      <c r="G35" t="s">
        <v>160</v>
      </c>
      <c r="H35">
        <v>100</v>
      </c>
      <c r="J35" t="s">
        <v>184</v>
      </c>
      <c r="K35">
        <v>1000</v>
      </c>
      <c r="M35" t="s">
        <v>198</v>
      </c>
      <c r="O35">
        <v>10000</v>
      </c>
    </row>
    <row r="36" spans="1:15" x14ac:dyDescent="0.25">
      <c r="A36" t="s">
        <v>30</v>
      </c>
      <c r="B36">
        <v>1</v>
      </c>
      <c r="G36" t="s">
        <v>163</v>
      </c>
      <c r="H36">
        <v>100</v>
      </c>
      <c r="J36" t="s">
        <v>187</v>
      </c>
      <c r="K36">
        <v>1000</v>
      </c>
      <c r="M36" t="s">
        <v>201</v>
      </c>
      <c r="O36">
        <v>10000</v>
      </c>
    </row>
    <row r="37" spans="1:15" x14ac:dyDescent="0.25">
      <c r="A37" t="s">
        <v>31</v>
      </c>
      <c r="B37">
        <v>1</v>
      </c>
      <c r="G37" t="s">
        <v>166</v>
      </c>
      <c r="H37">
        <v>100</v>
      </c>
      <c r="J37" t="s">
        <v>190</v>
      </c>
      <c r="K37">
        <v>1000</v>
      </c>
      <c r="M37" t="s">
        <v>204</v>
      </c>
      <c r="O37">
        <v>10000</v>
      </c>
    </row>
    <row r="38" spans="1:15" x14ac:dyDescent="0.25">
      <c r="A38" t="s">
        <v>32</v>
      </c>
      <c r="B38">
        <v>1</v>
      </c>
      <c r="G38" t="s">
        <v>168</v>
      </c>
      <c r="H38">
        <v>100</v>
      </c>
      <c r="M38" t="s">
        <v>207</v>
      </c>
      <c r="O38">
        <v>10000</v>
      </c>
    </row>
    <row r="39" spans="1:15" x14ac:dyDescent="0.25">
      <c r="A39" t="s">
        <v>33</v>
      </c>
      <c r="B39">
        <v>1</v>
      </c>
      <c r="G39" t="s">
        <v>170</v>
      </c>
      <c r="H39">
        <v>100</v>
      </c>
    </row>
    <row r="40" spans="1:15" x14ac:dyDescent="0.25">
      <c r="G40" t="s">
        <v>149</v>
      </c>
      <c r="H40">
        <v>100</v>
      </c>
    </row>
    <row r="41" spans="1:15" x14ac:dyDescent="0.25">
      <c r="G41" t="s">
        <v>152</v>
      </c>
      <c r="H41">
        <v>100</v>
      </c>
    </row>
    <row r="42" spans="1:15" x14ac:dyDescent="0.25">
      <c r="G42" t="s">
        <v>155</v>
      </c>
      <c r="H42">
        <v>100</v>
      </c>
    </row>
    <row r="43" spans="1:15" x14ac:dyDescent="0.25">
      <c r="G43" t="s">
        <v>158</v>
      </c>
      <c r="H43">
        <v>100</v>
      </c>
    </row>
    <row r="44" spans="1:15" x14ac:dyDescent="0.25">
      <c r="G44" t="s">
        <v>161</v>
      </c>
      <c r="H44">
        <v>100</v>
      </c>
    </row>
    <row r="45" spans="1:15" x14ac:dyDescent="0.25">
      <c r="G45" t="s">
        <v>164</v>
      </c>
      <c r="H45">
        <v>100</v>
      </c>
    </row>
    <row r="46" spans="1:15" x14ac:dyDescent="0.25">
      <c r="G46" t="s">
        <v>103</v>
      </c>
      <c r="H46">
        <v>100</v>
      </c>
    </row>
    <row r="48" spans="1:15" ht="18.75" x14ac:dyDescent="0.3">
      <c r="C48" s="1" t="s">
        <v>98</v>
      </c>
    </row>
    <row r="49" spans="1:8" x14ac:dyDescent="0.25">
      <c r="A49" t="s">
        <v>34</v>
      </c>
      <c r="B49">
        <v>1</v>
      </c>
      <c r="D49" t="s">
        <v>117</v>
      </c>
      <c r="E49">
        <v>10</v>
      </c>
      <c r="G49" t="s">
        <v>171</v>
      </c>
      <c r="H49">
        <v>100</v>
      </c>
    </row>
    <row r="50" spans="1:8" x14ac:dyDescent="0.25">
      <c r="A50" t="s">
        <v>35</v>
      </c>
      <c r="B50">
        <v>1</v>
      </c>
      <c r="D50" t="s">
        <v>120</v>
      </c>
      <c r="E50">
        <v>10</v>
      </c>
      <c r="G50" t="s">
        <v>174</v>
      </c>
      <c r="H50">
        <v>100</v>
      </c>
    </row>
    <row r="51" spans="1:8" x14ac:dyDescent="0.25">
      <c r="A51" t="s">
        <v>36</v>
      </c>
      <c r="B51">
        <v>1</v>
      </c>
      <c r="D51" t="s">
        <v>123</v>
      </c>
      <c r="E51">
        <v>10</v>
      </c>
      <c r="G51" t="s">
        <v>176</v>
      </c>
      <c r="H51">
        <v>100</v>
      </c>
    </row>
    <row r="52" spans="1:8" x14ac:dyDescent="0.25">
      <c r="A52" t="s">
        <v>37</v>
      </c>
      <c r="B52">
        <v>1</v>
      </c>
      <c r="D52" t="s">
        <v>126</v>
      </c>
      <c r="E52">
        <v>10</v>
      </c>
      <c r="G52" t="s">
        <v>172</v>
      </c>
      <c r="H52">
        <v>100</v>
      </c>
    </row>
    <row r="53" spans="1:8" x14ac:dyDescent="0.25">
      <c r="A53" t="s">
        <v>38</v>
      </c>
      <c r="B53">
        <v>1</v>
      </c>
      <c r="D53" t="s">
        <v>129</v>
      </c>
      <c r="E53">
        <v>10</v>
      </c>
      <c r="G53" t="s">
        <v>175</v>
      </c>
      <c r="H53">
        <v>100</v>
      </c>
    </row>
    <row r="54" spans="1:8" x14ac:dyDescent="0.25">
      <c r="A54" t="s">
        <v>39</v>
      </c>
      <c r="B54">
        <v>1</v>
      </c>
      <c r="D54" t="s">
        <v>132</v>
      </c>
      <c r="E54">
        <v>10</v>
      </c>
      <c r="G54" t="s">
        <v>177</v>
      </c>
      <c r="H54">
        <v>100</v>
      </c>
    </row>
    <row r="55" spans="1:8" x14ac:dyDescent="0.25">
      <c r="A55" t="s">
        <v>40</v>
      </c>
      <c r="B55">
        <v>1</v>
      </c>
      <c r="D55" t="s">
        <v>135</v>
      </c>
      <c r="E55">
        <v>10</v>
      </c>
      <c r="G55" t="s">
        <v>173</v>
      </c>
      <c r="H55">
        <v>100</v>
      </c>
    </row>
    <row r="56" spans="1:8" x14ac:dyDescent="0.25">
      <c r="A56" t="s">
        <v>41</v>
      </c>
      <c r="B56">
        <v>1</v>
      </c>
      <c r="D56" t="s">
        <v>138</v>
      </c>
      <c r="E56">
        <v>10</v>
      </c>
    </row>
    <row r="57" spans="1:8" x14ac:dyDescent="0.25">
      <c r="A57" t="s">
        <v>42</v>
      </c>
      <c r="B57">
        <v>1</v>
      </c>
      <c r="D57" t="s">
        <v>142</v>
      </c>
      <c r="E57">
        <v>10</v>
      </c>
    </row>
    <row r="58" spans="1:8" x14ac:dyDescent="0.25">
      <c r="A58" t="s">
        <v>43</v>
      </c>
      <c r="B58">
        <v>1</v>
      </c>
      <c r="D58" t="s">
        <v>118</v>
      </c>
      <c r="E58">
        <v>10</v>
      </c>
    </row>
    <row r="59" spans="1:8" x14ac:dyDescent="0.25">
      <c r="A59" t="s">
        <v>44</v>
      </c>
      <c r="B59">
        <v>1</v>
      </c>
      <c r="D59" t="s">
        <v>121</v>
      </c>
      <c r="E59">
        <v>10</v>
      </c>
    </row>
    <row r="60" spans="1:8" x14ac:dyDescent="0.25">
      <c r="A60" t="s">
        <v>45</v>
      </c>
      <c r="B60">
        <v>1</v>
      </c>
      <c r="D60" t="s">
        <v>124</v>
      </c>
      <c r="E60">
        <v>10</v>
      </c>
    </row>
    <row r="61" spans="1:8" x14ac:dyDescent="0.25">
      <c r="A61" t="s">
        <v>46</v>
      </c>
      <c r="B61">
        <v>1</v>
      </c>
      <c r="D61" t="s">
        <v>127</v>
      </c>
      <c r="E61">
        <v>10</v>
      </c>
    </row>
    <row r="62" spans="1:8" x14ac:dyDescent="0.25">
      <c r="A62" t="s">
        <v>47</v>
      </c>
      <c r="B62">
        <v>1</v>
      </c>
      <c r="D62" t="s">
        <v>130</v>
      </c>
      <c r="E62">
        <v>10</v>
      </c>
    </row>
    <row r="63" spans="1:8" x14ac:dyDescent="0.25">
      <c r="A63" t="s">
        <v>48</v>
      </c>
      <c r="B63">
        <v>1</v>
      </c>
      <c r="D63" t="s">
        <v>133</v>
      </c>
      <c r="E63">
        <v>10</v>
      </c>
    </row>
    <row r="64" spans="1:8" x14ac:dyDescent="0.25">
      <c r="A64" t="s">
        <v>49</v>
      </c>
      <c r="B64">
        <v>1</v>
      </c>
      <c r="D64" t="s">
        <v>136</v>
      </c>
      <c r="E64">
        <v>10</v>
      </c>
    </row>
    <row r="65" spans="1:5" x14ac:dyDescent="0.25">
      <c r="A65" t="s">
        <v>82</v>
      </c>
      <c r="B65">
        <v>1</v>
      </c>
      <c r="D65" t="s">
        <v>139</v>
      </c>
      <c r="E65">
        <v>10</v>
      </c>
    </row>
    <row r="66" spans="1:5" x14ac:dyDescent="0.25">
      <c r="A66" t="s">
        <v>83</v>
      </c>
      <c r="B66">
        <v>1</v>
      </c>
      <c r="D66" t="s">
        <v>141</v>
      </c>
      <c r="E66">
        <v>10</v>
      </c>
    </row>
    <row r="67" spans="1:5" x14ac:dyDescent="0.25">
      <c r="A67" t="s">
        <v>84</v>
      </c>
      <c r="B67">
        <v>1</v>
      </c>
      <c r="D67" t="s">
        <v>143</v>
      </c>
      <c r="E67">
        <v>10</v>
      </c>
    </row>
    <row r="68" spans="1:5" x14ac:dyDescent="0.25">
      <c r="A68" t="s">
        <v>85</v>
      </c>
      <c r="B68">
        <v>1</v>
      </c>
      <c r="D68" t="s">
        <v>119</v>
      </c>
      <c r="E68">
        <v>10</v>
      </c>
    </row>
    <row r="69" spans="1:5" x14ac:dyDescent="0.25">
      <c r="A69" t="s">
        <v>86</v>
      </c>
      <c r="B69">
        <v>1</v>
      </c>
      <c r="D69" t="s">
        <v>122</v>
      </c>
      <c r="E69">
        <v>10</v>
      </c>
    </row>
    <row r="70" spans="1:5" x14ac:dyDescent="0.25">
      <c r="A70" t="s">
        <v>50</v>
      </c>
      <c r="B70">
        <v>1</v>
      </c>
      <c r="D70" t="s">
        <v>125</v>
      </c>
      <c r="E70">
        <v>10</v>
      </c>
    </row>
    <row r="71" spans="1:5" x14ac:dyDescent="0.25">
      <c r="A71" t="s">
        <v>51</v>
      </c>
      <c r="B71">
        <v>1</v>
      </c>
      <c r="D71" t="s">
        <v>128</v>
      </c>
      <c r="E71">
        <v>10</v>
      </c>
    </row>
    <row r="72" spans="1:5" x14ac:dyDescent="0.25">
      <c r="A72" t="s">
        <v>52</v>
      </c>
      <c r="B72">
        <v>1</v>
      </c>
      <c r="D72" t="s">
        <v>131</v>
      </c>
      <c r="E72">
        <v>10</v>
      </c>
    </row>
    <row r="73" spans="1:5" x14ac:dyDescent="0.25">
      <c r="A73" t="s">
        <v>53</v>
      </c>
      <c r="B73">
        <v>1</v>
      </c>
      <c r="D73" t="s">
        <v>134</v>
      </c>
      <c r="E73">
        <v>10</v>
      </c>
    </row>
    <row r="74" spans="1:5" x14ac:dyDescent="0.25">
      <c r="A74" t="s">
        <v>55</v>
      </c>
      <c r="B74">
        <v>1</v>
      </c>
      <c r="D74" t="s">
        <v>137</v>
      </c>
      <c r="E74">
        <v>10</v>
      </c>
    </row>
    <row r="75" spans="1:5" x14ac:dyDescent="0.25">
      <c r="A75" t="s">
        <v>54</v>
      </c>
      <c r="B75">
        <v>1</v>
      </c>
      <c r="D75" t="s">
        <v>140</v>
      </c>
      <c r="E75">
        <v>10</v>
      </c>
    </row>
    <row r="76" spans="1:5" x14ac:dyDescent="0.25">
      <c r="A76" t="s">
        <v>56</v>
      </c>
      <c r="B76">
        <v>1</v>
      </c>
    </row>
    <row r="77" spans="1:5" x14ac:dyDescent="0.25">
      <c r="A77" t="s">
        <v>57</v>
      </c>
      <c r="B77">
        <v>1</v>
      </c>
    </row>
    <row r="78" spans="1:5" x14ac:dyDescent="0.25">
      <c r="A78" t="s">
        <v>58</v>
      </c>
      <c r="B78">
        <v>1</v>
      </c>
    </row>
    <row r="79" spans="1:5" x14ac:dyDescent="0.25">
      <c r="A79" t="s">
        <v>59</v>
      </c>
      <c r="B79">
        <v>1</v>
      </c>
    </row>
    <row r="80" spans="1:5" x14ac:dyDescent="0.25">
      <c r="A80" t="s">
        <v>60</v>
      </c>
      <c r="B80">
        <v>1</v>
      </c>
    </row>
    <row r="81" spans="1:2" x14ac:dyDescent="0.25">
      <c r="A81" t="s">
        <v>61</v>
      </c>
      <c r="B81">
        <v>1</v>
      </c>
    </row>
    <row r="82" spans="1:2" x14ac:dyDescent="0.25">
      <c r="A82" t="s">
        <v>62</v>
      </c>
      <c r="B82">
        <v>1</v>
      </c>
    </row>
    <row r="83" spans="1:2" x14ac:dyDescent="0.25">
      <c r="A83" t="s">
        <v>63</v>
      </c>
      <c r="B83">
        <v>1</v>
      </c>
    </row>
    <row r="84" spans="1:2" x14ac:dyDescent="0.25">
      <c r="A84" t="s">
        <v>64</v>
      </c>
      <c r="B84">
        <v>1</v>
      </c>
    </row>
    <row r="85" spans="1:2" x14ac:dyDescent="0.25">
      <c r="A85" t="s">
        <v>65</v>
      </c>
      <c r="B85">
        <v>1</v>
      </c>
    </row>
    <row r="86" spans="1:2" x14ac:dyDescent="0.25">
      <c r="A86" t="s">
        <v>87</v>
      </c>
      <c r="B86">
        <v>1</v>
      </c>
    </row>
    <row r="87" spans="1:2" x14ac:dyDescent="0.25">
      <c r="A87" t="s">
        <v>88</v>
      </c>
      <c r="B87">
        <v>1</v>
      </c>
    </row>
    <row r="88" spans="1:2" x14ac:dyDescent="0.25">
      <c r="A88" t="s">
        <v>89</v>
      </c>
      <c r="B88">
        <v>1</v>
      </c>
    </row>
    <row r="89" spans="1:2" x14ac:dyDescent="0.25">
      <c r="A89" t="s">
        <v>90</v>
      </c>
      <c r="B89">
        <v>1</v>
      </c>
    </row>
    <row r="90" spans="1:2" x14ac:dyDescent="0.25">
      <c r="A90" t="s">
        <v>91</v>
      </c>
      <c r="B90">
        <v>1</v>
      </c>
    </row>
    <row r="91" spans="1:2" x14ac:dyDescent="0.25">
      <c r="A91" t="s">
        <v>66</v>
      </c>
      <c r="B91">
        <v>1</v>
      </c>
    </row>
    <row r="92" spans="1:2" x14ac:dyDescent="0.25">
      <c r="A92" t="s">
        <v>67</v>
      </c>
      <c r="B92">
        <v>1</v>
      </c>
    </row>
    <row r="93" spans="1:2" x14ac:dyDescent="0.25">
      <c r="A93" t="s">
        <v>68</v>
      </c>
      <c r="B93">
        <v>1</v>
      </c>
    </row>
    <row r="94" spans="1:2" x14ac:dyDescent="0.25">
      <c r="A94" t="s">
        <v>69</v>
      </c>
      <c r="B94">
        <v>1</v>
      </c>
    </row>
    <row r="95" spans="1:2" x14ac:dyDescent="0.25">
      <c r="A95" t="s">
        <v>70</v>
      </c>
      <c r="B95">
        <v>1</v>
      </c>
    </row>
    <row r="96" spans="1:2" x14ac:dyDescent="0.25">
      <c r="A96" t="s">
        <v>71</v>
      </c>
      <c r="B96">
        <v>1</v>
      </c>
    </row>
    <row r="97" spans="1:2" x14ac:dyDescent="0.25">
      <c r="A97" t="s">
        <v>72</v>
      </c>
      <c r="B97">
        <v>1</v>
      </c>
    </row>
    <row r="98" spans="1:2" x14ac:dyDescent="0.25">
      <c r="A98" t="s">
        <v>73</v>
      </c>
      <c r="B98">
        <v>1</v>
      </c>
    </row>
    <row r="99" spans="1:2" x14ac:dyDescent="0.25">
      <c r="A99" t="s">
        <v>74</v>
      </c>
      <c r="B99">
        <v>1</v>
      </c>
    </row>
    <row r="100" spans="1:2" x14ac:dyDescent="0.25">
      <c r="A100" t="s">
        <v>75</v>
      </c>
      <c r="B100">
        <v>1</v>
      </c>
    </row>
    <row r="101" spans="1:2" x14ac:dyDescent="0.25">
      <c r="A101" t="s">
        <v>76</v>
      </c>
      <c r="B101">
        <v>1</v>
      </c>
    </row>
    <row r="102" spans="1:2" x14ac:dyDescent="0.25">
      <c r="A102" t="s">
        <v>77</v>
      </c>
      <c r="B102">
        <v>1</v>
      </c>
    </row>
    <row r="103" spans="1:2" x14ac:dyDescent="0.25">
      <c r="A103" t="s">
        <v>78</v>
      </c>
      <c r="B103">
        <v>1</v>
      </c>
    </row>
    <row r="104" spans="1:2" x14ac:dyDescent="0.25">
      <c r="A104" t="s">
        <v>80</v>
      </c>
      <c r="B104">
        <v>1</v>
      </c>
    </row>
    <row r="105" spans="1:2" x14ac:dyDescent="0.25">
      <c r="A105" t="s">
        <v>79</v>
      </c>
      <c r="B105">
        <v>1</v>
      </c>
    </row>
    <row r="106" spans="1:2" x14ac:dyDescent="0.25">
      <c r="A106" t="s">
        <v>81</v>
      </c>
      <c r="B106">
        <v>1</v>
      </c>
    </row>
    <row r="107" spans="1:2" x14ac:dyDescent="0.25">
      <c r="A107" t="s">
        <v>92</v>
      </c>
      <c r="B107">
        <v>1</v>
      </c>
    </row>
    <row r="108" spans="1:2" x14ac:dyDescent="0.25">
      <c r="A108" t="s">
        <v>93</v>
      </c>
      <c r="B108">
        <v>1</v>
      </c>
    </row>
    <row r="109" spans="1:2" x14ac:dyDescent="0.25">
      <c r="A109" t="s">
        <v>94</v>
      </c>
      <c r="B109">
        <v>1</v>
      </c>
    </row>
    <row r="110" spans="1:2" x14ac:dyDescent="0.25">
      <c r="A110" t="s">
        <v>95</v>
      </c>
      <c r="B110">
        <v>1</v>
      </c>
    </row>
    <row r="111" spans="1:2" x14ac:dyDescent="0.25">
      <c r="A111" t="s">
        <v>96</v>
      </c>
      <c r="B111">
        <v>1</v>
      </c>
    </row>
  </sheetData>
  <sortState xmlns:xlrd2="http://schemas.microsoft.com/office/spreadsheetml/2017/richdata2" ref="D49:D75">
    <sortCondition ref="D49:D75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2:T114"/>
  <sheetViews>
    <sheetView topLeftCell="A27" workbookViewId="0">
      <selection activeCell="S36" sqref="S36:T80"/>
    </sheetView>
  </sheetViews>
  <sheetFormatPr baseColWidth="10" defaultRowHeight="15" x14ac:dyDescent="0.25"/>
  <cols>
    <col min="1" max="1" width="18.25" customWidth="1"/>
    <col min="4" max="4" width="18.25" customWidth="1"/>
  </cols>
  <sheetData>
    <row r="2" spans="1:14" ht="18.75" x14ac:dyDescent="0.3">
      <c r="C2" s="1" t="s">
        <v>15</v>
      </c>
    </row>
    <row r="3" spans="1:14" x14ac:dyDescent="0.25">
      <c r="A3" t="s">
        <v>231</v>
      </c>
      <c r="B3">
        <v>500</v>
      </c>
      <c r="M3" t="s">
        <v>387</v>
      </c>
      <c r="N3" s="2">
        <v>50000</v>
      </c>
    </row>
    <row r="4" spans="1:14" x14ac:dyDescent="0.25">
      <c r="A4" t="s">
        <v>99</v>
      </c>
      <c r="B4">
        <v>500</v>
      </c>
    </row>
    <row r="5" spans="1:14" x14ac:dyDescent="0.25">
      <c r="A5" t="s">
        <v>232</v>
      </c>
      <c r="B5">
        <v>500</v>
      </c>
    </row>
    <row r="6" spans="1:14" x14ac:dyDescent="0.25">
      <c r="A6" t="s">
        <v>233</v>
      </c>
      <c r="B6">
        <v>500</v>
      </c>
    </row>
    <row r="7" spans="1:14" x14ac:dyDescent="0.25">
      <c r="A7" t="s">
        <v>178</v>
      </c>
      <c r="B7">
        <v>500</v>
      </c>
    </row>
    <row r="8" spans="1:14" x14ac:dyDescent="0.25">
      <c r="A8" t="s">
        <v>234</v>
      </c>
      <c r="B8">
        <v>500</v>
      </c>
    </row>
    <row r="9" spans="1:14" x14ac:dyDescent="0.25">
      <c r="A9" t="s">
        <v>235</v>
      </c>
      <c r="B9">
        <v>500</v>
      </c>
    </row>
    <row r="10" spans="1:14" x14ac:dyDescent="0.25">
      <c r="A10" t="s">
        <v>236</v>
      </c>
      <c r="B10">
        <v>500</v>
      </c>
    </row>
    <row r="11" spans="1:14" x14ac:dyDescent="0.25">
      <c r="A11" t="s">
        <v>237</v>
      </c>
      <c r="B11">
        <v>500</v>
      </c>
    </row>
    <row r="12" spans="1:14" x14ac:dyDescent="0.25">
      <c r="A12" t="s">
        <v>238</v>
      </c>
      <c r="B12">
        <v>500</v>
      </c>
    </row>
    <row r="13" spans="1:14" x14ac:dyDescent="0.25">
      <c r="A13" t="s">
        <v>239</v>
      </c>
      <c r="B13">
        <v>500</v>
      </c>
    </row>
    <row r="14" spans="1:14" x14ac:dyDescent="0.25">
      <c r="A14" t="s">
        <v>240</v>
      </c>
      <c r="B14">
        <v>500</v>
      </c>
    </row>
    <row r="15" spans="1:14" x14ac:dyDescent="0.25">
      <c r="A15" t="s">
        <v>241</v>
      </c>
      <c r="B15">
        <v>500</v>
      </c>
    </row>
    <row r="16" spans="1:14" x14ac:dyDescent="0.25">
      <c r="A16" t="s">
        <v>242</v>
      </c>
      <c r="B16">
        <v>500</v>
      </c>
    </row>
    <row r="17" spans="1:2" x14ac:dyDescent="0.25">
      <c r="A17" t="s">
        <v>243</v>
      </c>
      <c r="B17">
        <v>500</v>
      </c>
    </row>
    <row r="18" spans="1:2" x14ac:dyDescent="0.25">
      <c r="A18" t="s">
        <v>244</v>
      </c>
      <c r="B18">
        <v>500</v>
      </c>
    </row>
    <row r="19" spans="1:2" x14ac:dyDescent="0.25">
      <c r="A19" t="s">
        <v>245</v>
      </c>
      <c r="B19">
        <v>500</v>
      </c>
    </row>
    <row r="20" spans="1:2" x14ac:dyDescent="0.25">
      <c r="A20" t="s">
        <v>246</v>
      </c>
      <c r="B20">
        <v>500</v>
      </c>
    </row>
    <row r="21" spans="1:2" x14ac:dyDescent="0.25">
      <c r="A21" t="s">
        <v>247</v>
      </c>
      <c r="B21">
        <v>500</v>
      </c>
    </row>
    <row r="22" spans="1:2" x14ac:dyDescent="0.25">
      <c r="A22" t="s">
        <v>248</v>
      </c>
      <c r="B22">
        <v>500</v>
      </c>
    </row>
    <row r="23" spans="1:2" x14ac:dyDescent="0.25">
      <c r="A23" t="s">
        <v>249</v>
      </c>
      <c r="B23">
        <v>500</v>
      </c>
    </row>
    <row r="24" spans="1:2" x14ac:dyDescent="0.25">
      <c r="A24" t="s">
        <v>250</v>
      </c>
      <c r="B24">
        <v>500</v>
      </c>
    </row>
    <row r="25" spans="1:2" x14ac:dyDescent="0.25">
      <c r="A25" t="s">
        <v>251</v>
      </c>
      <c r="B25">
        <v>500</v>
      </c>
    </row>
    <row r="26" spans="1:2" x14ac:dyDescent="0.25">
      <c r="A26" t="s">
        <v>252</v>
      </c>
      <c r="B26">
        <v>500</v>
      </c>
    </row>
    <row r="27" spans="1:2" x14ac:dyDescent="0.25">
      <c r="A27" t="s">
        <v>253</v>
      </c>
      <c r="B27">
        <v>500</v>
      </c>
    </row>
    <row r="28" spans="1:2" x14ac:dyDescent="0.25">
      <c r="A28" t="s">
        <v>254</v>
      </c>
      <c r="B28">
        <v>500</v>
      </c>
    </row>
    <row r="29" spans="1:2" x14ac:dyDescent="0.25">
      <c r="A29" t="s">
        <v>255</v>
      </c>
      <c r="B29">
        <v>500</v>
      </c>
    </row>
    <row r="30" spans="1:2" x14ac:dyDescent="0.25">
      <c r="A30" t="s">
        <v>256</v>
      </c>
      <c r="B30">
        <v>500</v>
      </c>
    </row>
    <row r="31" spans="1:2" x14ac:dyDescent="0.25">
      <c r="A31" t="s">
        <v>257</v>
      </c>
      <c r="B31">
        <v>500</v>
      </c>
    </row>
    <row r="32" spans="1:2" x14ac:dyDescent="0.25">
      <c r="A32" t="s">
        <v>258</v>
      </c>
      <c r="B32">
        <v>500</v>
      </c>
    </row>
    <row r="33" spans="1:20" x14ac:dyDescent="0.25">
      <c r="A33" t="s">
        <v>259</v>
      </c>
      <c r="B33">
        <v>500</v>
      </c>
    </row>
    <row r="35" spans="1:20" ht="18.75" x14ac:dyDescent="0.3">
      <c r="C35" s="1" t="s">
        <v>97</v>
      </c>
    </row>
    <row r="36" spans="1:20" x14ac:dyDescent="0.25">
      <c r="A36" t="s">
        <v>260</v>
      </c>
      <c r="B36" s="3">
        <v>500</v>
      </c>
      <c r="D36" t="s">
        <v>267</v>
      </c>
      <c r="E36" s="2">
        <v>3000</v>
      </c>
      <c r="G36" t="s">
        <v>16</v>
      </c>
      <c r="H36" s="2">
        <v>10000</v>
      </c>
      <c r="J36" t="s">
        <v>313</v>
      </c>
      <c r="K36" s="2">
        <v>20000</v>
      </c>
      <c r="P36" t="s">
        <v>162</v>
      </c>
      <c r="Q36" s="2">
        <v>100000</v>
      </c>
      <c r="S36" t="s">
        <v>411</v>
      </c>
      <c r="T36" s="2">
        <v>200000</v>
      </c>
    </row>
    <row r="37" spans="1:20" x14ac:dyDescent="0.25">
      <c r="A37" t="s">
        <v>261</v>
      </c>
      <c r="B37" s="3">
        <v>500</v>
      </c>
      <c r="D37" t="s">
        <v>268</v>
      </c>
      <c r="E37" s="2">
        <v>3000</v>
      </c>
      <c r="G37" t="s">
        <v>17</v>
      </c>
      <c r="H37" s="2">
        <v>10000</v>
      </c>
      <c r="J37" t="s">
        <v>314</v>
      </c>
      <c r="K37" s="2">
        <v>20000</v>
      </c>
      <c r="P37" t="s">
        <v>388</v>
      </c>
      <c r="Q37" s="2">
        <v>100000</v>
      </c>
      <c r="S37" t="s">
        <v>412</v>
      </c>
      <c r="T37" s="2">
        <v>200000</v>
      </c>
    </row>
    <row r="38" spans="1:20" x14ac:dyDescent="0.25">
      <c r="A38" t="s">
        <v>262</v>
      </c>
      <c r="B38" s="3">
        <v>500</v>
      </c>
      <c r="D38" t="s">
        <v>269</v>
      </c>
      <c r="E38" s="2">
        <v>3000</v>
      </c>
      <c r="G38" t="s">
        <v>275</v>
      </c>
      <c r="H38" s="2">
        <v>10000</v>
      </c>
      <c r="J38" t="s">
        <v>153</v>
      </c>
      <c r="K38" s="2">
        <v>20000</v>
      </c>
      <c r="P38" t="s">
        <v>389</v>
      </c>
      <c r="Q38" s="2">
        <v>100000</v>
      </c>
      <c r="S38" t="s">
        <v>413</v>
      </c>
      <c r="T38" s="2">
        <v>200000</v>
      </c>
    </row>
    <row r="39" spans="1:20" x14ac:dyDescent="0.25">
      <c r="A39" t="s">
        <v>263</v>
      </c>
      <c r="B39" s="3">
        <v>500</v>
      </c>
      <c r="D39" t="s">
        <v>270</v>
      </c>
      <c r="E39" s="2">
        <v>3000</v>
      </c>
      <c r="G39" t="s">
        <v>20</v>
      </c>
      <c r="H39" s="2">
        <v>10000</v>
      </c>
      <c r="J39" t="s">
        <v>315</v>
      </c>
      <c r="K39" s="2">
        <v>20000</v>
      </c>
      <c r="P39" t="s">
        <v>390</v>
      </c>
      <c r="Q39" s="2">
        <v>100000</v>
      </c>
      <c r="S39" t="s">
        <v>414</v>
      </c>
      <c r="T39" s="2">
        <v>200000</v>
      </c>
    </row>
    <row r="40" spans="1:20" x14ac:dyDescent="0.25">
      <c r="A40" t="s">
        <v>264</v>
      </c>
      <c r="B40" s="3">
        <v>500</v>
      </c>
      <c r="D40" t="s">
        <v>148</v>
      </c>
      <c r="E40" s="2">
        <v>3000</v>
      </c>
      <c r="G40" t="s">
        <v>21</v>
      </c>
      <c r="H40" s="2">
        <v>10000</v>
      </c>
      <c r="J40" t="s">
        <v>316</v>
      </c>
      <c r="K40" s="2">
        <v>20000</v>
      </c>
      <c r="P40" t="s">
        <v>391</v>
      </c>
      <c r="Q40" s="2">
        <v>100000</v>
      </c>
      <c r="S40" t="s">
        <v>179</v>
      </c>
      <c r="T40" s="2">
        <v>200000</v>
      </c>
    </row>
    <row r="41" spans="1:20" x14ac:dyDescent="0.25">
      <c r="A41" t="s">
        <v>265</v>
      </c>
      <c r="B41" s="3">
        <v>500</v>
      </c>
      <c r="D41" t="s">
        <v>271</v>
      </c>
      <c r="E41" s="2">
        <v>3000</v>
      </c>
      <c r="G41" t="s">
        <v>276</v>
      </c>
      <c r="H41" s="2">
        <v>10000</v>
      </c>
      <c r="J41" t="s">
        <v>159</v>
      </c>
      <c r="K41" s="2">
        <v>20000</v>
      </c>
      <c r="P41" t="s">
        <v>392</v>
      </c>
      <c r="Q41" s="2">
        <v>100000</v>
      </c>
      <c r="S41" t="s">
        <v>415</v>
      </c>
      <c r="T41" s="2">
        <v>200000</v>
      </c>
    </row>
    <row r="42" spans="1:20" x14ac:dyDescent="0.25">
      <c r="A42" t="s">
        <v>146</v>
      </c>
      <c r="B42" s="3">
        <v>500</v>
      </c>
      <c r="D42" t="s">
        <v>272</v>
      </c>
      <c r="E42" s="2">
        <v>3000</v>
      </c>
      <c r="G42" t="s">
        <v>277</v>
      </c>
      <c r="H42" s="2">
        <v>10000</v>
      </c>
      <c r="J42" t="s">
        <v>317</v>
      </c>
      <c r="K42" s="2">
        <v>20000</v>
      </c>
      <c r="P42" t="s">
        <v>393</v>
      </c>
      <c r="Q42" s="2">
        <v>100000</v>
      </c>
      <c r="S42" t="s">
        <v>416</v>
      </c>
      <c r="T42" s="2">
        <v>200000</v>
      </c>
    </row>
    <row r="43" spans="1:20" x14ac:dyDescent="0.25">
      <c r="A43" t="s">
        <v>266</v>
      </c>
      <c r="B43" s="3">
        <v>500</v>
      </c>
      <c r="D43" t="s">
        <v>163</v>
      </c>
      <c r="E43" s="2">
        <v>3000</v>
      </c>
      <c r="G43" t="s">
        <v>278</v>
      </c>
      <c r="H43" s="2">
        <v>10000</v>
      </c>
      <c r="J43" t="s">
        <v>318</v>
      </c>
      <c r="K43" s="2">
        <v>20000</v>
      </c>
      <c r="P43" t="s">
        <v>394</v>
      </c>
      <c r="Q43" s="2">
        <v>100000</v>
      </c>
      <c r="S43" t="s">
        <v>417</v>
      </c>
      <c r="T43" s="2">
        <v>200000</v>
      </c>
    </row>
    <row r="44" spans="1:20" x14ac:dyDescent="0.25">
      <c r="D44" t="s">
        <v>273</v>
      </c>
      <c r="E44" s="2">
        <v>3000</v>
      </c>
      <c r="G44" t="s">
        <v>279</v>
      </c>
      <c r="H44" s="2">
        <v>10000</v>
      </c>
      <c r="J44" t="s">
        <v>319</v>
      </c>
      <c r="K44" s="2">
        <v>20000</v>
      </c>
      <c r="P44" t="s">
        <v>395</v>
      </c>
      <c r="Q44" s="2">
        <v>100000</v>
      </c>
      <c r="S44" t="s">
        <v>418</v>
      </c>
      <c r="T44" s="2">
        <v>200000</v>
      </c>
    </row>
    <row r="45" spans="1:20" x14ac:dyDescent="0.25">
      <c r="D45" t="s">
        <v>274</v>
      </c>
      <c r="E45" s="2">
        <v>3000</v>
      </c>
      <c r="G45" t="s">
        <v>280</v>
      </c>
      <c r="H45" s="2">
        <v>10000</v>
      </c>
      <c r="J45" t="s">
        <v>320</v>
      </c>
      <c r="K45" s="2">
        <v>20000</v>
      </c>
      <c r="P45" t="s">
        <v>396</v>
      </c>
      <c r="Q45" s="2">
        <v>100000</v>
      </c>
      <c r="S45" t="s">
        <v>419</v>
      </c>
      <c r="T45" s="2">
        <v>200000</v>
      </c>
    </row>
    <row r="46" spans="1:20" x14ac:dyDescent="0.25">
      <c r="D46" t="s">
        <v>274</v>
      </c>
      <c r="E46" s="2">
        <v>3000</v>
      </c>
      <c r="G46" t="s">
        <v>281</v>
      </c>
      <c r="H46" s="2">
        <v>10000</v>
      </c>
      <c r="J46" t="s">
        <v>321</v>
      </c>
      <c r="K46" s="2">
        <v>20000</v>
      </c>
      <c r="P46" t="s">
        <v>397</v>
      </c>
      <c r="Q46" s="2">
        <v>100000</v>
      </c>
      <c r="S46" t="s">
        <v>420</v>
      </c>
      <c r="T46" s="2">
        <v>200000</v>
      </c>
    </row>
    <row r="47" spans="1:20" x14ac:dyDescent="0.25">
      <c r="D47" t="s">
        <v>32</v>
      </c>
      <c r="E47" s="2">
        <v>3000</v>
      </c>
      <c r="G47" t="s">
        <v>282</v>
      </c>
      <c r="H47" s="2">
        <v>10000</v>
      </c>
      <c r="J47" t="s">
        <v>322</v>
      </c>
      <c r="K47" s="2">
        <v>20000</v>
      </c>
      <c r="P47" t="s">
        <v>398</v>
      </c>
      <c r="Q47" s="2">
        <v>100000</v>
      </c>
      <c r="S47" t="s">
        <v>421</v>
      </c>
      <c r="T47" s="2">
        <v>200000</v>
      </c>
    </row>
    <row r="48" spans="1:20" x14ac:dyDescent="0.25">
      <c r="G48" t="s">
        <v>283</v>
      </c>
      <c r="H48" s="2">
        <v>10000</v>
      </c>
      <c r="J48" t="s">
        <v>323</v>
      </c>
      <c r="K48" s="2">
        <v>20000</v>
      </c>
      <c r="P48" t="s">
        <v>399</v>
      </c>
      <c r="Q48" s="2">
        <v>100000</v>
      </c>
      <c r="S48" t="s">
        <v>422</v>
      </c>
      <c r="T48" s="2">
        <v>200000</v>
      </c>
    </row>
    <row r="49" spans="7:20" x14ac:dyDescent="0.25">
      <c r="G49" t="s">
        <v>284</v>
      </c>
      <c r="H49" s="2">
        <v>10000</v>
      </c>
      <c r="J49" t="s">
        <v>324</v>
      </c>
      <c r="K49" s="2">
        <v>20000</v>
      </c>
      <c r="P49" t="s">
        <v>400</v>
      </c>
      <c r="Q49" s="2">
        <v>100000</v>
      </c>
      <c r="S49" t="s">
        <v>423</v>
      </c>
      <c r="T49" s="2">
        <v>200000</v>
      </c>
    </row>
    <row r="50" spans="7:20" x14ac:dyDescent="0.25">
      <c r="G50" t="s">
        <v>285</v>
      </c>
      <c r="H50" s="2">
        <v>10000</v>
      </c>
      <c r="J50" t="s">
        <v>325</v>
      </c>
      <c r="K50" s="2">
        <v>20000</v>
      </c>
      <c r="P50" t="s">
        <v>401</v>
      </c>
      <c r="Q50" s="2">
        <v>100000</v>
      </c>
      <c r="S50" t="s">
        <v>424</v>
      </c>
      <c r="T50" s="2">
        <v>200000</v>
      </c>
    </row>
    <row r="51" spans="7:20" x14ac:dyDescent="0.25">
      <c r="G51" t="s">
        <v>286</v>
      </c>
      <c r="H51" s="2">
        <v>10000</v>
      </c>
      <c r="J51" t="s">
        <v>326</v>
      </c>
      <c r="K51" s="2">
        <v>20000</v>
      </c>
      <c r="P51" t="s">
        <v>402</v>
      </c>
      <c r="Q51" s="2">
        <v>100000</v>
      </c>
      <c r="S51" t="s">
        <v>425</v>
      </c>
      <c r="T51" s="2">
        <v>200000</v>
      </c>
    </row>
    <row r="52" spans="7:20" x14ac:dyDescent="0.25">
      <c r="G52" t="s">
        <v>287</v>
      </c>
      <c r="H52" s="2">
        <v>10000</v>
      </c>
      <c r="J52" t="s">
        <v>327</v>
      </c>
      <c r="K52" s="2">
        <v>20000</v>
      </c>
      <c r="P52" t="s">
        <v>403</v>
      </c>
      <c r="Q52" s="2">
        <v>100000</v>
      </c>
      <c r="S52" t="s">
        <v>216</v>
      </c>
      <c r="T52" s="2">
        <v>200000</v>
      </c>
    </row>
    <row r="53" spans="7:20" x14ac:dyDescent="0.25">
      <c r="G53" t="s">
        <v>288</v>
      </c>
      <c r="H53" s="2">
        <v>10000</v>
      </c>
      <c r="J53" t="s">
        <v>328</v>
      </c>
      <c r="K53" s="2">
        <v>20000</v>
      </c>
      <c r="P53" t="s">
        <v>404</v>
      </c>
      <c r="Q53" s="2">
        <v>100000</v>
      </c>
      <c r="S53" t="s">
        <v>426</v>
      </c>
      <c r="T53" s="2">
        <v>200000</v>
      </c>
    </row>
    <row r="54" spans="7:20" x14ac:dyDescent="0.25">
      <c r="G54" t="s">
        <v>289</v>
      </c>
      <c r="H54" s="2">
        <v>10000</v>
      </c>
      <c r="J54" t="s">
        <v>329</v>
      </c>
      <c r="K54" s="2">
        <v>20000</v>
      </c>
      <c r="P54" t="s">
        <v>170</v>
      </c>
      <c r="Q54" s="2">
        <v>100000</v>
      </c>
      <c r="S54" t="s">
        <v>427</v>
      </c>
      <c r="T54" s="2">
        <v>200000</v>
      </c>
    </row>
    <row r="55" spans="7:20" x14ac:dyDescent="0.25">
      <c r="G55" t="s">
        <v>290</v>
      </c>
      <c r="H55" s="2">
        <v>10000</v>
      </c>
      <c r="J55" t="s">
        <v>330</v>
      </c>
      <c r="K55" s="2">
        <v>20000</v>
      </c>
      <c r="P55" t="s">
        <v>405</v>
      </c>
      <c r="Q55" s="2">
        <v>100000</v>
      </c>
      <c r="S55" t="s">
        <v>428</v>
      </c>
      <c r="T55" s="2">
        <v>200000</v>
      </c>
    </row>
    <row r="56" spans="7:20" x14ac:dyDescent="0.25">
      <c r="G56" t="s">
        <v>291</v>
      </c>
      <c r="H56" s="2">
        <v>10000</v>
      </c>
      <c r="J56" t="s">
        <v>331</v>
      </c>
      <c r="K56" s="2">
        <v>20000</v>
      </c>
      <c r="P56" t="s">
        <v>406</v>
      </c>
      <c r="Q56" s="2">
        <v>100000</v>
      </c>
      <c r="S56" t="s">
        <v>429</v>
      </c>
      <c r="T56" s="2">
        <v>200000</v>
      </c>
    </row>
    <row r="57" spans="7:20" x14ac:dyDescent="0.25">
      <c r="G57" t="s">
        <v>292</v>
      </c>
      <c r="H57" s="2">
        <v>10000</v>
      </c>
      <c r="J57" t="s">
        <v>332</v>
      </c>
      <c r="K57" s="2">
        <v>20000</v>
      </c>
      <c r="P57" t="s">
        <v>112</v>
      </c>
      <c r="Q57" s="2">
        <v>100000</v>
      </c>
      <c r="S57" t="s">
        <v>430</v>
      </c>
      <c r="T57" s="2">
        <v>200000</v>
      </c>
    </row>
    <row r="58" spans="7:20" x14ac:dyDescent="0.25">
      <c r="G58" t="s">
        <v>293</v>
      </c>
      <c r="H58" s="2">
        <v>10000</v>
      </c>
      <c r="J58" t="s">
        <v>333</v>
      </c>
      <c r="K58" s="2">
        <v>20000</v>
      </c>
      <c r="P58" t="s">
        <v>152</v>
      </c>
      <c r="Q58" s="2">
        <v>100000</v>
      </c>
      <c r="S58" t="s">
        <v>431</v>
      </c>
      <c r="T58" s="2">
        <v>200000</v>
      </c>
    </row>
    <row r="59" spans="7:20" x14ac:dyDescent="0.25">
      <c r="G59" t="s">
        <v>294</v>
      </c>
      <c r="H59" s="2">
        <v>10000</v>
      </c>
      <c r="J59" t="s">
        <v>334</v>
      </c>
      <c r="K59" s="2">
        <v>20000</v>
      </c>
      <c r="P59" t="s">
        <v>407</v>
      </c>
      <c r="Q59" s="2">
        <v>100000</v>
      </c>
      <c r="S59" t="s">
        <v>432</v>
      </c>
      <c r="T59" s="2">
        <v>200000</v>
      </c>
    </row>
    <row r="60" spans="7:20" x14ac:dyDescent="0.25">
      <c r="G60" t="s">
        <v>295</v>
      </c>
      <c r="H60" s="2">
        <v>10000</v>
      </c>
      <c r="J60" t="s">
        <v>335</v>
      </c>
      <c r="K60" s="2">
        <v>20000</v>
      </c>
      <c r="P60" t="s">
        <v>408</v>
      </c>
      <c r="Q60" s="2">
        <v>100000</v>
      </c>
      <c r="S60" t="s">
        <v>433</v>
      </c>
      <c r="T60" s="2">
        <v>200000</v>
      </c>
    </row>
    <row r="61" spans="7:20" x14ac:dyDescent="0.25">
      <c r="G61" t="s">
        <v>27</v>
      </c>
      <c r="H61" s="2">
        <v>10000</v>
      </c>
      <c r="J61" t="s">
        <v>336</v>
      </c>
      <c r="K61" s="2">
        <v>20000</v>
      </c>
      <c r="P61" t="s">
        <v>409</v>
      </c>
      <c r="Q61" s="2">
        <v>100000</v>
      </c>
      <c r="S61" t="s">
        <v>434</v>
      </c>
      <c r="T61" s="2">
        <v>200000</v>
      </c>
    </row>
    <row r="62" spans="7:20" x14ac:dyDescent="0.25">
      <c r="G62" t="s">
        <v>296</v>
      </c>
      <c r="H62" s="2">
        <v>10000</v>
      </c>
      <c r="J62" t="s">
        <v>337</v>
      </c>
      <c r="K62" s="2">
        <v>20000</v>
      </c>
      <c r="P62" t="s">
        <v>410</v>
      </c>
      <c r="Q62" s="2">
        <v>100000</v>
      </c>
      <c r="S62" t="s">
        <v>435</v>
      </c>
      <c r="T62" s="2">
        <v>200000</v>
      </c>
    </row>
    <row r="63" spans="7:20" x14ac:dyDescent="0.25">
      <c r="G63" t="s">
        <v>297</v>
      </c>
      <c r="H63" s="2">
        <v>10000</v>
      </c>
      <c r="J63" t="s">
        <v>24</v>
      </c>
      <c r="K63" s="2">
        <v>20000</v>
      </c>
      <c r="S63" t="s">
        <v>436</v>
      </c>
      <c r="T63" s="2">
        <v>200000</v>
      </c>
    </row>
    <row r="64" spans="7:20" x14ac:dyDescent="0.25">
      <c r="G64" t="s">
        <v>298</v>
      </c>
      <c r="H64" s="2">
        <v>10000</v>
      </c>
      <c r="J64" t="s">
        <v>338</v>
      </c>
      <c r="K64" s="2">
        <v>20000</v>
      </c>
      <c r="S64" t="s">
        <v>437</v>
      </c>
      <c r="T64" s="2">
        <v>200000</v>
      </c>
    </row>
    <row r="65" spans="7:20" x14ac:dyDescent="0.25">
      <c r="G65" t="s">
        <v>299</v>
      </c>
      <c r="H65" s="2">
        <v>10000</v>
      </c>
      <c r="J65" t="s">
        <v>339</v>
      </c>
      <c r="K65" s="2">
        <v>20000</v>
      </c>
      <c r="S65" t="s">
        <v>438</v>
      </c>
      <c r="T65" s="2">
        <v>200000</v>
      </c>
    </row>
    <row r="66" spans="7:20" x14ac:dyDescent="0.25">
      <c r="G66" t="s">
        <v>300</v>
      </c>
      <c r="H66" s="2">
        <v>10000</v>
      </c>
      <c r="J66" t="s">
        <v>340</v>
      </c>
      <c r="K66" s="2">
        <v>20000</v>
      </c>
      <c r="S66" t="s">
        <v>439</v>
      </c>
      <c r="T66" s="2">
        <v>200000</v>
      </c>
    </row>
    <row r="67" spans="7:20" x14ac:dyDescent="0.25">
      <c r="G67" t="s">
        <v>301</v>
      </c>
      <c r="H67" s="2">
        <v>10000</v>
      </c>
      <c r="J67" t="s">
        <v>341</v>
      </c>
      <c r="K67" s="2">
        <v>20000</v>
      </c>
      <c r="S67" t="s">
        <v>440</v>
      </c>
      <c r="T67" s="2">
        <v>200000</v>
      </c>
    </row>
    <row r="68" spans="7:20" x14ac:dyDescent="0.25">
      <c r="G68" t="s">
        <v>302</v>
      </c>
      <c r="H68" s="2">
        <v>10000</v>
      </c>
      <c r="J68" t="s">
        <v>342</v>
      </c>
      <c r="K68" s="2">
        <v>20000</v>
      </c>
      <c r="S68" t="s">
        <v>441</v>
      </c>
      <c r="T68" s="2">
        <v>200000</v>
      </c>
    </row>
    <row r="69" spans="7:20" x14ac:dyDescent="0.25">
      <c r="G69" t="s">
        <v>303</v>
      </c>
      <c r="H69" s="2">
        <v>10000</v>
      </c>
      <c r="J69" t="s">
        <v>343</v>
      </c>
      <c r="K69" s="2">
        <v>20000</v>
      </c>
      <c r="S69" t="s">
        <v>442</v>
      </c>
      <c r="T69" s="2">
        <v>200000</v>
      </c>
    </row>
    <row r="70" spans="7:20" x14ac:dyDescent="0.25">
      <c r="G70" t="s">
        <v>304</v>
      </c>
      <c r="H70" s="2">
        <v>10000</v>
      </c>
      <c r="J70" t="s">
        <v>344</v>
      </c>
      <c r="K70" s="2">
        <v>20000</v>
      </c>
      <c r="S70" t="s">
        <v>443</v>
      </c>
      <c r="T70" s="2">
        <v>200000</v>
      </c>
    </row>
    <row r="71" spans="7:20" x14ac:dyDescent="0.25">
      <c r="G71" t="s">
        <v>305</v>
      </c>
      <c r="H71" s="2">
        <v>10000</v>
      </c>
      <c r="J71" t="s">
        <v>345</v>
      </c>
      <c r="K71" s="2">
        <v>20000</v>
      </c>
      <c r="S71" t="s">
        <v>444</v>
      </c>
      <c r="T71" s="2">
        <v>200000</v>
      </c>
    </row>
    <row r="72" spans="7:20" x14ac:dyDescent="0.25">
      <c r="G72" t="s">
        <v>306</v>
      </c>
      <c r="H72" s="2">
        <v>10000</v>
      </c>
      <c r="J72" t="s">
        <v>346</v>
      </c>
      <c r="K72" s="2">
        <v>20000</v>
      </c>
      <c r="S72" t="s">
        <v>445</v>
      </c>
      <c r="T72" s="2">
        <v>200000</v>
      </c>
    </row>
    <row r="73" spans="7:20" x14ac:dyDescent="0.25">
      <c r="G73" t="s">
        <v>307</v>
      </c>
      <c r="H73" s="2">
        <v>10000</v>
      </c>
      <c r="J73" t="s">
        <v>347</v>
      </c>
      <c r="K73" s="2">
        <v>20000</v>
      </c>
      <c r="S73" t="s">
        <v>446</v>
      </c>
      <c r="T73" s="2">
        <v>200000</v>
      </c>
    </row>
    <row r="74" spans="7:20" x14ac:dyDescent="0.25">
      <c r="G74" t="s">
        <v>308</v>
      </c>
      <c r="H74" s="2">
        <v>10000</v>
      </c>
      <c r="J74" t="s">
        <v>348</v>
      </c>
      <c r="K74" s="2">
        <v>20000</v>
      </c>
      <c r="S74" t="s">
        <v>447</v>
      </c>
      <c r="T74" s="2">
        <v>200000</v>
      </c>
    </row>
    <row r="75" spans="7:20" x14ac:dyDescent="0.25">
      <c r="G75" t="s">
        <v>309</v>
      </c>
      <c r="H75" s="2">
        <v>10000</v>
      </c>
      <c r="J75" t="s">
        <v>349</v>
      </c>
      <c r="K75" s="2">
        <v>20000</v>
      </c>
      <c r="S75" t="s">
        <v>448</v>
      </c>
      <c r="T75" s="2">
        <v>200000</v>
      </c>
    </row>
    <row r="76" spans="7:20" x14ac:dyDescent="0.25">
      <c r="G76" t="s">
        <v>310</v>
      </c>
      <c r="H76" s="2">
        <v>10000</v>
      </c>
      <c r="J76" t="s">
        <v>350</v>
      </c>
      <c r="K76" s="2">
        <v>20000</v>
      </c>
      <c r="S76" t="s">
        <v>449</v>
      </c>
      <c r="T76" s="2">
        <v>200000</v>
      </c>
    </row>
    <row r="77" spans="7:20" x14ac:dyDescent="0.25">
      <c r="G77" t="s">
        <v>311</v>
      </c>
      <c r="H77" s="2">
        <v>10000</v>
      </c>
      <c r="J77" t="s">
        <v>351</v>
      </c>
      <c r="K77" s="2">
        <v>20000</v>
      </c>
      <c r="S77" t="s">
        <v>450</v>
      </c>
      <c r="T77" s="2">
        <v>200000</v>
      </c>
    </row>
    <row r="78" spans="7:20" x14ac:dyDescent="0.25">
      <c r="G78" t="s">
        <v>312</v>
      </c>
      <c r="H78" s="2">
        <v>10000</v>
      </c>
      <c r="J78" t="s">
        <v>352</v>
      </c>
      <c r="K78" s="2">
        <v>20000</v>
      </c>
      <c r="S78" t="s">
        <v>451</v>
      </c>
      <c r="T78" s="2">
        <v>200000</v>
      </c>
    </row>
    <row r="79" spans="7:20" x14ac:dyDescent="0.25">
      <c r="J79" t="s">
        <v>353</v>
      </c>
      <c r="K79" s="2">
        <v>20000</v>
      </c>
      <c r="S79" t="s">
        <v>452</v>
      </c>
      <c r="T79" s="2">
        <v>200000</v>
      </c>
    </row>
    <row r="80" spans="7:20" x14ac:dyDescent="0.25">
      <c r="J80" t="s">
        <v>354</v>
      </c>
      <c r="K80" s="2">
        <v>20000</v>
      </c>
      <c r="S80" t="s">
        <v>453</v>
      </c>
      <c r="T80" s="2">
        <v>200000</v>
      </c>
    </row>
    <row r="81" spans="10:11" x14ac:dyDescent="0.25">
      <c r="J81" t="s">
        <v>355</v>
      </c>
      <c r="K81" s="2">
        <v>20000</v>
      </c>
    </row>
    <row r="82" spans="10:11" x14ac:dyDescent="0.25">
      <c r="J82" t="s">
        <v>356</v>
      </c>
      <c r="K82" s="2">
        <v>20000</v>
      </c>
    </row>
    <row r="83" spans="10:11" x14ac:dyDescent="0.25">
      <c r="J83" t="s">
        <v>357</v>
      </c>
      <c r="K83" s="2">
        <v>20000</v>
      </c>
    </row>
    <row r="84" spans="10:11" x14ac:dyDescent="0.25">
      <c r="J84" t="s">
        <v>358</v>
      </c>
      <c r="K84" s="2">
        <v>20000</v>
      </c>
    </row>
    <row r="85" spans="10:11" x14ac:dyDescent="0.25">
      <c r="J85" t="s">
        <v>359</v>
      </c>
      <c r="K85" s="2">
        <v>20000</v>
      </c>
    </row>
    <row r="86" spans="10:11" x14ac:dyDescent="0.25">
      <c r="J86" t="s">
        <v>360</v>
      </c>
      <c r="K86" s="2">
        <v>20000</v>
      </c>
    </row>
    <row r="87" spans="10:11" x14ac:dyDescent="0.25">
      <c r="J87" t="s">
        <v>361</v>
      </c>
      <c r="K87" s="2">
        <v>20000</v>
      </c>
    </row>
    <row r="88" spans="10:11" x14ac:dyDescent="0.25">
      <c r="J88" t="s">
        <v>362</v>
      </c>
      <c r="K88" s="2">
        <v>20000</v>
      </c>
    </row>
    <row r="89" spans="10:11" x14ac:dyDescent="0.25">
      <c r="J89" t="s">
        <v>363</v>
      </c>
      <c r="K89" s="2">
        <v>20000</v>
      </c>
    </row>
    <row r="90" spans="10:11" x14ac:dyDescent="0.25">
      <c r="J90" t="s">
        <v>364</v>
      </c>
      <c r="K90" s="2">
        <v>20000</v>
      </c>
    </row>
    <row r="91" spans="10:11" x14ac:dyDescent="0.25">
      <c r="J91" t="s">
        <v>365</v>
      </c>
      <c r="K91" s="2">
        <v>20000</v>
      </c>
    </row>
    <row r="92" spans="10:11" x14ac:dyDescent="0.25">
      <c r="J92" t="s">
        <v>366</v>
      </c>
      <c r="K92" s="2">
        <v>20000</v>
      </c>
    </row>
    <row r="93" spans="10:11" x14ac:dyDescent="0.25">
      <c r="J93" t="s">
        <v>367</v>
      </c>
      <c r="K93" s="2">
        <v>20000</v>
      </c>
    </row>
    <row r="94" spans="10:11" x14ac:dyDescent="0.25">
      <c r="J94" t="s">
        <v>368</v>
      </c>
      <c r="K94" s="2">
        <v>20000</v>
      </c>
    </row>
    <row r="95" spans="10:11" x14ac:dyDescent="0.25">
      <c r="J95" t="s">
        <v>369</v>
      </c>
      <c r="K95" s="2">
        <v>20000</v>
      </c>
    </row>
    <row r="96" spans="10:11" x14ac:dyDescent="0.25">
      <c r="J96" t="s">
        <v>30</v>
      </c>
      <c r="K96" s="2">
        <v>20000</v>
      </c>
    </row>
    <row r="97" spans="10:11" x14ac:dyDescent="0.25">
      <c r="J97" t="s">
        <v>370</v>
      </c>
      <c r="K97" s="2">
        <v>20000</v>
      </c>
    </row>
    <row r="98" spans="10:11" x14ac:dyDescent="0.25">
      <c r="J98" t="s">
        <v>265</v>
      </c>
      <c r="K98" s="2">
        <v>20000</v>
      </c>
    </row>
    <row r="99" spans="10:11" x14ac:dyDescent="0.25">
      <c r="J99" t="s">
        <v>371</v>
      </c>
      <c r="K99" s="2">
        <v>20000</v>
      </c>
    </row>
    <row r="100" spans="10:11" x14ac:dyDescent="0.25">
      <c r="J100" t="s">
        <v>372</v>
      </c>
      <c r="K100" s="2">
        <v>20000</v>
      </c>
    </row>
    <row r="101" spans="10:11" x14ac:dyDescent="0.25">
      <c r="J101" t="s">
        <v>373</v>
      </c>
      <c r="K101" s="2">
        <v>20000</v>
      </c>
    </row>
    <row r="102" spans="10:11" x14ac:dyDescent="0.25">
      <c r="J102" t="s">
        <v>374</v>
      </c>
      <c r="K102" s="2">
        <v>20000</v>
      </c>
    </row>
    <row r="103" spans="10:11" x14ac:dyDescent="0.25">
      <c r="J103" t="s">
        <v>375</v>
      </c>
      <c r="K103" s="2">
        <v>20000</v>
      </c>
    </row>
    <row r="104" spans="10:11" x14ac:dyDescent="0.25">
      <c r="J104" t="s">
        <v>376</v>
      </c>
      <c r="K104" s="2">
        <v>20000</v>
      </c>
    </row>
    <row r="105" spans="10:11" x14ac:dyDescent="0.25">
      <c r="J105" t="s">
        <v>377</v>
      </c>
      <c r="K105" s="2">
        <v>20000</v>
      </c>
    </row>
    <row r="106" spans="10:11" x14ac:dyDescent="0.25">
      <c r="J106" t="s">
        <v>378</v>
      </c>
      <c r="K106" s="2">
        <v>20000</v>
      </c>
    </row>
    <row r="107" spans="10:11" x14ac:dyDescent="0.25">
      <c r="J107" t="s">
        <v>379</v>
      </c>
      <c r="K107" s="2">
        <v>20000</v>
      </c>
    </row>
    <row r="108" spans="10:11" x14ac:dyDescent="0.25">
      <c r="J108" t="s">
        <v>380</v>
      </c>
      <c r="K108" s="2">
        <v>20000</v>
      </c>
    </row>
    <row r="109" spans="10:11" x14ac:dyDescent="0.25">
      <c r="J109" t="s">
        <v>381</v>
      </c>
      <c r="K109" s="2">
        <v>20000</v>
      </c>
    </row>
    <row r="110" spans="10:11" x14ac:dyDescent="0.25">
      <c r="J110" t="s">
        <v>382</v>
      </c>
      <c r="K110" s="2">
        <v>20000</v>
      </c>
    </row>
    <row r="111" spans="10:11" x14ac:dyDescent="0.25">
      <c r="J111" t="s">
        <v>383</v>
      </c>
      <c r="K111" s="2">
        <v>20000</v>
      </c>
    </row>
    <row r="112" spans="10:11" x14ac:dyDescent="0.25">
      <c r="J112" t="s">
        <v>384</v>
      </c>
      <c r="K112" s="2">
        <v>20000</v>
      </c>
    </row>
    <row r="113" spans="10:11" x14ac:dyDescent="0.25">
      <c r="J113" t="s">
        <v>385</v>
      </c>
      <c r="K113" s="2">
        <v>20000</v>
      </c>
    </row>
    <row r="114" spans="10:11" x14ac:dyDescent="0.25">
      <c r="J114" t="s">
        <v>386</v>
      </c>
      <c r="K114" s="2">
        <v>20000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Busqueda</vt:lpstr>
      <vt:lpstr>Sustancias no previstas</vt:lpstr>
      <vt:lpstr>Datos</vt:lpstr>
      <vt:lpstr>1er</vt:lpstr>
      <vt:lpstr>2do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2023-05-14T16:42:26Z</dcterms:created>
  <dcterms:modified xsi:type="dcterms:W3CDTF">2023-06-01T04:30:53Z</dcterms:modified>
</cp:coreProperties>
</file>